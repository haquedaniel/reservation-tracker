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aniel/Library/CloudStorage/GoogleDrive-dhaque@gmail.com/My Drive/Personal/Reservation Tracker/"/>
    </mc:Choice>
  </mc:AlternateContent>
  <xr:revisionPtr revIDLastSave="0" documentId="8_{A8E79265-A261-0745-B6E7-CDC0E6BCC3D9}" xr6:coauthVersionLast="47" xr6:coauthVersionMax="47" xr10:uidLastSave="{00000000-0000-0000-0000-000000000000}"/>
  <bookViews>
    <workbookView xWindow="6160" yWindow="2460" windowWidth="25120" windowHeight="18340" xr2:uid="{8D1391B0-DD3C-7F45-91A7-DFA4F33E47CB}"/>
  </bookViews>
  <sheets>
    <sheet name="Reservations" sheetId="1" r:id="rId1"/>
    <sheet name="Variable Expenses" sheetId="6" r:id="rId2"/>
    <sheet name="Fixed Expenses" sheetId="4" r:id="rId3"/>
    <sheet name="Monthly Targets" sheetId="3" r:id="rId4"/>
    <sheet name="Lookups" sheetId="2" r:id="rId5"/>
    <sheet name="Listings" sheetId="5" r:id="rId6"/>
  </sheets>
  <definedNames>
    <definedName name="_xlnm._FilterDatabase" localSheetId="0" hidden="1">Reservations!$A$1:$K$57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" i="1" l="1"/>
  <c r="N57" i="1" s="1"/>
  <c r="L57" i="1"/>
  <c r="M57" i="1" s="1"/>
  <c r="C37" i="4"/>
  <c r="D37" i="4"/>
  <c r="E37" i="4"/>
  <c r="F37" i="4"/>
  <c r="G37" i="4"/>
  <c r="H37" i="4"/>
  <c r="I37" i="4"/>
  <c r="J37" i="4"/>
  <c r="K37" i="4"/>
  <c r="L37" i="4"/>
  <c r="M37" i="4"/>
  <c r="N37" i="4"/>
  <c r="C38" i="4"/>
  <c r="D38" i="4"/>
  <c r="E38" i="4"/>
  <c r="F38" i="4"/>
  <c r="G38" i="4"/>
  <c r="H38" i="4"/>
  <c r="I38" i="4"/>
  <c r="J38" i="4"/>
  <c r="K38" i="4"/>
  <c r="L38" i="4"/>
  <c r="M38" i="4"/>
  <c r="N38" i="4"/>
  <c r="C39" i="4"/>
  <c r="D39" i="4"/>
  <c r="E39" i="4"/>
  <c r="F39" i="4"/>
  <c r="G39" i="4"/>
  <c r="H39" i="4"/>
  <c r="I39" i="4"/>
  <c r="J39" i="4"/>
  <c r="K39" i="4"/>
  <c r="L39" i="4"/>
  <c r="M39" i="4"/>
  <c r="N39" i="4"/>
  <c r="C40" i="4"/>
  <c r="D40" i="4"/>
  <c r="E40" i="4"/>
  <c r="F40" i="4"/>
  <c r="G40" i="4"/>
  <c r="H40" i="4"/>
  <c r="I40" i="4"/>
  <c r="J40" i="4"/>
  <c r="K40" i="4"/>
  <c r="L40" i="4"/>
  <c r="M40" i="4"/>
  <c r="N40" i="4"/>
  <c r="C41" i="4"/>
  <c r="D41" i="4"/>
  <c r="E41" i="4"/>
  <c r="F41" i="4"/>
  <c r="G41" i="4"/>
  <c r="H41" i="4"/>
  <c r="I41" i="4"/>
  <c r="J41" i="4"/>
  <c r="K41" i="4"/>
  <c r="L41" i="4"/>
  <c r="M41" i="4"/>
  <c r="N41" i="4"/>
  <c r="E36" i="4"/>
  <c r="F36" i="4"/>
  <c r="G36" i="4"/>
  <c r="H36" i="4"/>
  <c r="I36" i="4"/>
  <c r="J36" i="4"/>
  <c r="K36" i="4"/>
  <c r="L36" i="4"/>
  <c r="M36" i="4"/>
  <c r="N36" i="4"/>
  <c r="D36" i="4"/>
  <c r="C36" i="4"/>
  <c r="K3" i="1" l="1"/>
  <c r="N3" i="1" s="1"/>
  <c r="L3" i="1"/>
  <c r="M3" i="1" s="1"/>
  <c r="H3" i="1"/>
  <c r="H2" i="1"/>
  <c r="K2" i="1" s="1"/>
  <c r="N2" i="1" s="1"/>
  <c r="L2" i="1"/>
  <c r="C5" i="4"/>
  <c r="D5" i="4" s="1"/>
  <c r="E5" i="4" s="1"/>
  <c r="F5" i="4" s="1"/>
  <c r="G5" i="4" s="1"/>
  <c r="H5" i="4" s="1"/>
  <c r="I5" i="4" s="1"/>
  <c r="J5" i="4" s="1"/>
  <c r="K5" i="4" s="1"/>
  <c r="L5" i="4" s="1"/>
  <c r="M5" i="4" s="1"/>
  <c r="N5" i="4" s="1"/>
  <c r="C6" i="4"/>
  <c r="D6" i="4" s="1"/>
  <c r="E6" i="4" s="1"/>
  <c r="F6" i="4" s="1"/>
  <c r="G6" i="4" s="1"/>
  <c r="H6" i="4" s="1"/>
  <c r="I6" i="4" s="1"/>
  <c r="J6" i="4" s="1"/>
  <c r="K6" i="4" s="1"/>
  <c r="L6" i="4" s="1"/>
  <c r="M6" i="4" s="1"/>
  <c r="N6" i="4" s="1"/>
  <c r="C7" i="4"/>
  <c r="D7" i="4" s="1"/>
  <c r="E7" i="4" s="1"/>
  <c r="F7" i="4" s="1"/>
  <c r="G7" i="4" s="1"/>
  <c r="H7" i="4" s="1"/>
  <c r="I7" i="4" s="1"/>
  <c r="J7" i="4" s="1"/>
  <c r="K7" i="4" s="1"/>
  <c r="L7" i="4" s="1"/>
  <c r="M7" i="4" s="1"/>
  <c r="N7" i="4" s="1"/>
  <c r="C8" i="4"/>
  <c r="D8" i="4" s="1"/>
  <c r="E8" i="4" s="1"/>
  <c r="F8" i="4" s="1"/>
  <c r="G8" i="4" s="1"/>
  <c r="H8" i="4" s="1"/>
  <c r="I8" i="4" s="1"/>
  <c r="J8" i="4" s="1"/>
  <c r="K8" i="4" s="1"/>
  <c r="L8" i="4" s="1"/>
  <c r="M8" i="4" s="1"/>
  <c r="N8" i="4" s="1"/>
  <c r="C4" i="4"/>
  <c r="D4" i="4" s="1"/>
  <c r="E4" i="4" s="1"/>
  <c r="F4" i="4" s="1"/>
  <c r="G4" i="4" s="1"/>
  <c r="H4" i="4" s="1"/>
  <c r="I4" i="4" s="1"/>
  <c r="J4" i="4" s="1"/>
  <c r="K4" i="4" s="1"/>
  <c r="L4" i="4" s="1"/>
  <c r="M4" i="4" s="1"/>
  <c r="N4" i="4" s="1"/>
  <c r="F29" i="2"/>
  <c r="F28" i="2"/>
  <c r="F27" i="2"/>
  <c r="F26" i="2"/>
  <c r="F25" i="2"/>
  <c r="B38" i="2"/>
  <c r="M2" i="1" l="1"/>
  <c r="K56" i="1" l="1"/>
  <c r="N56" i="1" s="1"/>
  <c r="L56" i="1"/>
  <c r="M56" i="1" s="1"/>
  <c r="K55" i="1"/>
  <c r="N55" i="1" s="1"/>
  <c r="L55" i="1"/>
  <c r="M55" i="1" s="1"/>
  <c r="J54" i="1"/>
  <c r="K54" i="1" s="1"/>
  <c r="N54" i="1" s="1"/>
  <c r="J53" i="1"/>
  <c r="K53" i="1" s="1"/>
  <c r="N53" i="1" s="1"/>
  <c r="J52" i="1"/>
  <c r="K52" i="1" s="1"/>
  <c r="N52" i="1" s="1"/>
  <c r="L52" i="1"/>
  <c r="M52" i="1" s="1"/>
  <c r="L36" i="1"/>
  <c r="M36" i="1" s="1"/>
  <c r="L37" i="1"/>
  <c r="M37" i="1" s="1"/>
  <c r="L38" i="1"/>
  <c r="M38" i="1" s="1"/>
  <c r="L39" i="1"/>
  <c r="M39" i="1" s="1"/>
  <c r="L35" i="1"/>
  <c r="M35" i="1" s="1"/>
  <c r="L48" i="1"/>
  <c r="M48" i="1" s="1"/>
  <c r="L43" i="1"/>
  <c r="M43" i="1" s="1"/>
  <c r="L41" i="1"/>
  <c r="M41" i="1" s="1"/>
  <c r="L42" i="1"/>
  <c r="M42" i="1" s="1"/>
  <c r="L49" i="1"/>
  <c r="M49" i="1" s="1"/>
  <c r="L45" i="1"/>
  <c r="M45" i="1" s="1"/>
  <c r="L51" i="1"/>
  <c r="M51" i="1" s="1"/>
  <c r="L50" i="1"/>
  <c r="M50" i="1" s="1"/>
  <c r="L46" i="1"/>
  <c r="M46" i="1" s="1"/>
  <c r="L44" i="1"/>
  <c r="M44" i="1" s="1"/>
  <c r="L47" i="1"/>
  <c r="M47" i="1" s="1"/>
  <c r="J25" i="1"/>
  <c r="K25" i="1" s="1"/>
  <c r="N25" i="1" s="1"/>
  <c r="J20" i="1"/>
  <c r="L20" i="1" s="1"/>
  <c r="M20" i="1" s="1"/>
  <c r="K42" i="1"/>
  <c r="N42" i="1" s="1"/>
  <c r="F7" i="3"/>
  <c r="E7" i="3"/>
  <c r="D7" i="3"/>
  <c r="F6" i="3"/>
  <c r="E6" i="3"/>
  <c r="D6" i="3"/>
  <c r="F5" i="3"/>
  <c r="E5" i="3"/>
  <c r="D5" i="3"/>
  <c r="F4" i="3"/>
  <c r="E4" i="3"/>
  <c r="D4" i="3"/>
  <c r="F3" i="3"/>
  <c r="E3" i="3"/>
  <c r="D3" i="3"/>
  <c r="F2" i="3"/>
  <c r="E2" i="3"/>
  <c r="D2" i="3"/>
  <c r="F13" i="3"/>
  <c r="E13" i="3"/>
  <c r="D13" i="3"/>
  <c r="F12" i="3"/>
  <c r="E12" i="3"/>
  <c r="D12" i="3"/>
  <c r="F11" i="3"/>
  <c r="E11" i="3"/>
  <c r="D11" i="3"/>
  <c r="F10" i="3"/>
  <c r="E10" i="3"/>
  <c r="D10" i="3"/>
  <c r="F9" i="3"/>
  <c r="F8" i="3"/>
  <c r="E9" i="3"/>
  <c r="E8" i="3"/>
  <c r="D9" i="3"/>
  <c r="D8" i="3"/>
  <c r="C13" i="3"/>
  <c r="C12" i="3"/>
  <c r="C11" i="3"/>
  <c r="C10" i="3"/>
  <c r="C2" i="3"/>
  <c r="C3" i="3"/>
  <c r="C4" i="3"/>
  <c r="C6" i="3"/>
  <c r="C5" i="3"/>
  <c r="C7" i="3"/>
  <c r="C9" i="3"/>
  <c r="C8" i="3"/>
  <c r="J21" i="1"/>
  <c r="K21" i="1" s="1"/>
  <c r="N21" i="1" s="1"/>
  <c r="K41" i="1"/>
  <c r="N41" i="1" s="1"/>
  <c r="K43" i="1"/>
  <c r="N43" i="1" s="1"/>
  <c r="J33" i="1"/>
  <c r="K33" i="1" s="1"/>
  <c r="N33" i="1" s="1"/>
  <c r="J40" i="1"/>
  <c r="K40" i="1" s="1"/>
  <c r="N40" i="1" s="1"/>
  <c r="K47" i="1"/>
  <c r="N47" i="1" s="1"/>
  <c r="J31" i="1"/>
  <c r="K31" i="1" s="1"/>
  <c r="N31" i="1" s="1"/>
  <c r="J28" i="1"/>
  <c r="K28" i="1" s="1"/>
  <c r="N28" i="1" s="1"/>
  <c r="K44" i="1"/>
  <c r="N44" i="1" s="1"/>
  <c r="K46" i="1"/>
  <c r="N46" i="1" s="1"/>
  <c r="J22" i="1"/>
  <c r="K22" i="1" s="1"/>
  <c r="N22" i="1" s="1"/>
  <c r="J30" i="1"/>
  <c r="K30" i="1" s="1"/>
  <c r="N30" i="1" s="1"/>
  <c r="J27" i="1"/>
  <c r="K27" i="1" s="1"/>
  <c r="N27" i="1" s="1"/>
  <c r="J32" i="1"/>
  <c r="K32" i="1" s="1"/>
  <c r="N32" i="1" s="1"/>
  <c r="J34" i="1"/>
  <c r="K34" i="1" s="1"/>
  <c r="N34" i="1" s="1"/>
  <c r="J29" i="1"/>
  <c r="K29" i="1" s="1"/>
  <c r="N29" i="1" s="1"/>
  <c r="J24" i="1"/>
  <c r="K24" i="1" s="1"/>
  <c r="N24" i="1" s="1"/>
  <c r="J23" i="1"/>
  <c r="K23" i="1" s="1"/>
  <c r="N23" i="1" s="1"/>
  <c r="K45" i="1"/>
  <c r="N45" i="1" s="1"/>
  <c r="K51" i="1"/>
  <c r="N51" i="1" s="1"/>
  <c r="K50" i="1"/>
  <c r="N50" i="1" s="1"/>
  <c r="K49" i="1"/>
  <c r="N49" i="1" s="1"/>
  <c r="J18" i="1"/>
  <c r="K18" i="1" s="1"/>
  <c r="N18" i="1" s="1"/>
  <c r="K48" i="1"/>
  <c r="N48" i="1" s="1"/>
  <c r="J17" i="1"/>
  <c r="K17" i="1" s="1"/>
  <c r="N17" i="1" s="1"/>
  <c r="J15" i="1"/>
  <c r="K15" i="1" s="1"/>
  <c r="N15" i="1" s="1"/>
  <c r="J26" i="1"/>
  <c r="K26" i="1" s="1"/>
  <c r="N26" i="1" s="1"/>
  <c r="J19" i="1"/>
  <c r="K19" i="1" s="1"/>
  <c r="N19" i="1" s="1"/>
  <c r="J16" i="1"/>
  <c r="K16" i="1" s="1"/>
  <c r="N16" i="1" s="1"/>
  <c r="J10" i="1"/>
  <c r="K10" i="1" s="1"/>
  <c r="N10" i="1" s="1"/>
  <c r="J14" i="1"/>
  <c r="K14" i="1" s="1"/>
  <c r="N14" i="1" s="1"/>
  <c r="J9" i="1"/>
  <c r="K9" i="1" s="1"/>
  <c r="N9" i="1" s="1"/>
  <c r="K39" i="1"/>
  <c r="N39" i="1" s="1"/>
  <c r="K35" i="1"/>
  <c r="N35" i="1" s="1"/>
  <c r="K37" i="1"/>
  <c r="N37" i="1" s="1"/>
  <c r="J12" i="1"/>
  <c r="K12" i="1" s="1"/>
  <c r="N12" i="1" s="1"/>
  <c r="J6" i="1"/>
  <c r="K6" i="1" s="1"/>
  <c r="N6" i="1" s="1"/>
  <c r="J13" i="1"/>
  <c r="K13" i="1" s="1"/>
  <c r="N13" i="1" s="1"/>
  <c r="K38" i="1"/>
  <c r="N38" i="1" s="1"/>
  <c r="J7" i="1"/>
  <c r="K7" i="1" s="1"/>
  <c r="N7" i="1" s="1"/>
  <c r="K36" i="1"/>
  <c r="N36" i="1" s="1"/>
  <c r="J8" i="1"/>
  <c r="K8" i="1" s="1"/>
  <c r="N8" i="1" s="1"/>
  <c r="J5" i="1"/>
  <c r="K5" i="1" s="1"/>
  <c r="N5" i="1" s="1"/>
  <c r="J11" i="1"/>
  <c r="K11" i="1" s="1"/>
  <c r="N11" i="1" s="1"/>
  <c r="J4" i="1"/>
  <c r="K4" i="1" s="1"/>
  <c r="N4" i="1" s="1"/>
  <c r="L54" i="1" l="1"/>
  <c r="M54" i="1" s="1"/>
  <c r="L53" i="1"/>
  <c r="M53" i="1" s="1"/>
  <c r="K20" i="1"/>
  <c r="N20" i="1" s="1"/>
  <c r="L8" i="1"/>
  <c r="M8" i="1" s="1"/>
  <c r="L27" i="1"/>
  <c r="M27" i="1" s="1"/>
  <c r="L30" i="1"/>
  <c r="M30" i="1" s="1"/>
  <c r="L33" i="1"/>
  <c r="M33" i="1" s="1"/>
  <c r="L18" i="1"/>
  <c r="M18" i="1" s="1"/>
  <c r="L11" i="1"/>
  <c r="M11" i="1" s="1"/>
  <c r="L34" i="1"/>
  <c r="M34" i="1" s="1"/>
  <c r="L25" i="1"/>
  <c r="M25" i="1" s="1"/>
  <c r="L17" i="1"/>
  <c r="M17" i="1" s="1"/>
  <c r="L9" i="1"/>
  <c r="M9" i="1" s="1"/>
  <c r="L10" i="1"/>
  <c r="M10" i="1" s="1"/>
  <c r="L21" i="1"/>
  <c r="M21" i="1" s="1"/>
  <c r="L4" i="1"/>
  <c r="M4" i="1" s="1"/>
  <c r="L6" i="1"/>
  <c r="M6" i="1" s="1"/>
  <c r="L32" i="1"/>
  <c r="M32" i="1" s="1"/>
  <c r="L19" i="1"/>
  <c r="M19" i="1" s="1"/>
  <c r="L13" i="1"/>
  <c r="M13" i="1" s="1"/>
  <c r="L7" i="1"/>
  <c r="L22" i="1"/>
  <c r="M22" i="1" s="1"/>
  <c r="L12" i="1"/>
  <c r="M12" i="1" s="1"/>
  <c r="L40" i="1"/>
  <c r="M40" i="1" s="1"/>
  <c r="L15" i="1"/>
  <c r="M15" i="1" s="1"/>
  <c r="L28" i="1"/>
  <c r="M28" i="1" s="1"/>
  <c r="L29" i="1"/>
  <c r="M29" i="1" s="1"/>
  <c r="L14" i="1"/>
  <c r="M14" i="1" s="1"/>
  <c r="L24" i="1"/>
  <c r="M24" i="1" s="1"/>
  <c r="L16" i="1"/>
  <c r="M16" i="1" s="1"/>
  <c r="L31" i="1"/>
  <c r="M31" i="1" s="1"/>
  <c r="L23" i="1"/>
  <c r="M23" i="1" s="1"/>
  <c r="L26" i="1"/>
  <c r="M26" i="1" s="1"/>
  <c r="L5" i="1"/>
  <c r="M5" i="1" s="1"/>
  <c r="F15" i="3"/>
  <c r="E15" i="3"/>
  <c r="D15" i="3"/>
  <c r="C15" i="3"/>
  <c r="M7" i="1" l="1"/>
</calcChain>
</file>

<file path=xl/sharedStrings.xml><?xml version="1.0" encoding="utf-8"?>
<sst xmlns="http://schemas.openxmlformats.org/spreadsheetml/2006/main" count="259" uniqueCount="123">
  <si>
    <t>Guest Name</t>
  </si>
  <si>
    <t>Confirmation Code</t>
  </si>
  <si>
    <t>Check in Date</t>
  </si>
  <si>
    <t>Number of Nights</t>
  </si>
  <si>
    <t>Listing</t>
  </si>
  <si>
    <t>Listings</t>
  </si>
  <si>
    <t>Grande maison de famille avec piscine</t>
  </si>
  <si>
    <t>Un balcon sur la mer</t>
  </si>
  <si>
    <t>Les pieds dans l’eau</t>
  </si>
  <si>
    <t>Apartment 5</t>
  </si>
  <si>
    <t>Total Revenue</t>
  </si>
  <si>
    <t>Cleaning Fees</t>
  </si>
  <si>
    <t>Concierge Commission</t>
  </si>
  <si>
    <t>Booking Source</t>
  </si>
  <si>
    <t>Daniel</t>
  </si>
  <si>
    <t>AirBnb</t>
  </si>
  <si>
    <t>Revenue Net</t>
  </si>
  <si>
    <t>FG</t>
  </si>
  <si>
    <t>FG Web Site</t>
  </si>
  <si>
    <t>Elisa</t>
  </si>
  <si>
    <t>Source</t>
  </si>
  <si>
    <t>FG Website</t>
  </si>
  <si>
    <t>LeBonCoin</t>
  </si>
  <si>
    <t>Other</t>
  </si>
  <si>
    <t>Cecile</t>
  </si>
  <si>
    <t>Jean-Louis</t>
  </si>
  <si>
    <t>Cinema</t>
  </si>
  <si>
    <t>Julien</t>
  </si>
  <si>
    <t>Leboncoin</t>
  </si>
  <si>
    <t>Manon</t>
  </si>
  <si>
    <t>Eva</t>
  </si>
  <si>
    <t>Anthony</t>
  </si>
  <si>
    <t>Annaig</t>
  </si>
  <si>
    <t>Marine</t>
  </si>
  <si>
    <t>Gabriel</t>
  </si>
  <si>
    <t>Didier</t>
  </si>
  <si>
    <t>Siegfried</t>
  </si>
  <si>
    <t>Veronique</t>
  </si>
  <si>
    <t>Christelle</t>
  </si>
  <si>
    <t>Lena</t>
  </si>
  <si>
    <t>Lorenz</t>
  </si>
  <si>
    <t>Worso</t>
  </si>
  <si>
    <t>Mickael</t>
  </si>
  <si>
    <t>Audrey</t>
  </si>
  <si>
    <t>Magali</t>
  </si>
  <si>
    <t>Virginie</t>
  </si>
  <si>
    <t>Website</t>
  </si>
  <si>
    <t>Benoit</t>
  </si>
  <si>
    <t>Maxence</t>
  </si>
  <si>
    <t>Thomas</t>
  </si>
  <si>
    <t>Yolande</t>
  </si>
  <si>
    <t>Inconnu</t>
  </si>
  <si>
    <t>Chantal</t>
  </si>
  <si>
    <t>Anna</t>
  </si>
  <si>
    <t>Jan Hendrik Kreis</t>
  </si>
  <si>
    <t>Anne</t>
  </si>
  <si>
    <t>Maxime</t>
  </si>
  <si>
    <t>Andy</t>
  </si>
  <si>
    <t>Gisela</t>
  </si>
  <si>
    <t>Chloé</t>
  </si>
  <si>
    <t>Marie Catherine</t>
  </si>
  <si>
    <t>Tom</t>
  </si>
  <si>
    <t>Month</t>
  </si>
  <si>
    <t>Sum</t>
  </si>
  <si>
    <t>Booking Date</t>
  </si>
  <si>
    <t>Year</t>
  </si>
  <si>
    <t>Emilie</t>
  </si>
  <si>
    <t>Frais Menage+comm</t>
  </si>
  <si>
    <t>Rentabilité</t>
  </si>
  <si>
    <t>Taux par nuit</t>
  </si>
  <si>
    <t>Maud</t>
  </si>
  <si>
    <t>Marie</t>
  </si>
  <si>
    <t>Lucie</t>
  </si>
  <si>
    <t>Nathalie</t>
  </si>
  <si>
    <t>Safrano</t>
  </si>
  <si>
    <t>Description</t>
  </si>
  <si>
    <t>Type</t>
  </si>
  <si>
    <t>Milliemes</t>
  </si>
  <si>
    <t>Lots</t>
  </si>
  <si>
    <t>Milliemes de Charges generale</t>
  </si>
  <si>
    <t>listing</t>
  </si>
  <si>
    <t>%</t>
  </si>
  <si>
    <t>Apartment 6</t>
  </si>
  <si>
    <t>Total ours</t>
  </si>
  <si>
    <t>Annexe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</si>
  <si>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</si>
  <si>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</si>
  <si>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</si>
  <si>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</si>
  <si>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</si>
  <si>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</si>
  <si>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</si>
  <si>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</si>
  <si>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</si>
  <si>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</si>
  <si>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</si>
  <si>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</si>
  <si>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 xml:space="preserve">Mensualité Prêt </t>
  </si>
  <si>
    <t>Electricité</t>
  </si>
  <si>
    <t>Apartment Plozevet</t>
  </si>
  <si>
    <t>Meuble Apt 6</t>
  </si>
  <si>
    <t>Jordan Peskerezh</t>
  </si>
  <si>
    <t>Charges Copro</t>
  </si>
  <si>
    <t>Fuel</t>
  </si>
  <si>
    <t>CFE</t>
  </si>
  <si>
    <t>Assurance PNO</t>
  </si>
  <si>
    <t>Assurance Habitation</t>
  </si>
  <si>
    <t>Jardin</t>
  </si>
  <si>
    <t>Compta</t>
  </si>
  <si>
    <t>Taxe foncieres</t>
  </si>
  <si>
    <t>Tax Habitation</t>
  </si>
  <si>
    <t>Description AirBnB</t>
  </si>
  <si>
    <t>Name</t>
  </si>
  <si>
    <t>La Peskerezh</t>
  </si>
  <si>
    <t>Voilerie 4</t>
  </si>
  <si>
    <t>Voilerie 2</t>
  </si>
  <si>
    <t>Voilerie 5</t>
  </si>
  <si>
    <t>Un jardin sur la mer</t>
  </si>
  <si>
    <t>Voilerie 6</t>
  </si>
  <si>
    <t>Voilerie Annexe</t>
  </si>
  <si>
    <t>Apartment La Peskerezh</t>
  </si>
  <si>
    <t>estimate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</si>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</sst>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0" fontId="0" fillId="0" borderId="0" xfId="0" applyNumberFormat="1"/>
    <xf numFmtId="2" fontId="2" fillId="0" borderId="0" xfId="0" applyNumberFormat="1" applyFont="1"/>
    <xf numFmtId="2" fontId="0" fillId="0" borderId="0" xfId="0" applyNumberForma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1" fontId="0" fillId="0" borderId="0" xfId="0" applyNumberFormat="1"/>
    <xf numFmtId="0" fontId="7" fillId="0" borderId="0" xfId="0" applyFont="1"/>
    <xf numFmtId="14" fontId="7" fillId="0" borderId="0" xfId="0" applyNumberFormat="1" applyFont="1"/>
    <xf numFmtId="10" fontId="7" fillId="0" borderId="0" xfId="0" applyNumberFormat="1" applyFont="1"/>
    <xf numFmtId="2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673100</xdr:colOff>
      <xdr:row>4</xdr:row>
      <xdr:rowOff>63500</xdr:rowOff>
    </xdr:from>
    <xdr:to>
      <xdr:col>16</xdr:col>
      <xdr:colOff>393700</xdr:colOff>
      <xdr:row>6</xdr:row>
      <xdr:rowOff>114300</xdr:rowOff>
    </xdr:to>
    <xdr:sp macro="[0]!UpdateDashboard" textlink="">
      <xdr:nvSpPr>
        <xdr:cNvPr id="2" name="Rounded Rectangle 1">
          <a:extLst>
            <a:ext uri="{FF2B5EF4-FFF2-40B4-BE49-F238E27FC236}">
              <a16:creationId xmlns:a16="http://schemas.microsoft.com/office/drawing/2014/main" id="{E9FEA301-8C5B-06A1-2A0B-107FF0BA87C9}"/>
            </a:ext>
          </a:extLst>
        </xdr:cNvPr>
        <xdr:cNvSpPr/>
      </xdr:nvSpPr>
      <xdr:spPr>
        <a:xfrm>
          <a:off x="15748000" y="469900"/>
          <a:ext cx="1371600" cy="457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2000" b="1"/>
            <a:t>Update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57F3-E3E1-AE42-9916-6DB3D440C4D7}">
  <sheetPr codeName="Sheet1"/>
  <dimension ref="A1:N57"/>
  <sheetViews>
    <sheetView tabSelected="1" topLeftCell="C1" zoomScaleNormal="100" workbookViewId="0">
      <selection activeCell="J57" sqref="J57"/>
    </sheetView>
  </sheetViews>
  <sheetFormatPr baseColWidth="10" defaultRowHeight="16" x14ac:dyDescent="0.2"/>
  <cols>
    <col min="1" max="1" width="14" customWidth="1"/>
    <col min="2" max="2" width="8" customWidth="1"/>
    <col min="3" max="3" width="18.5" customWidth="1"/>
    <col min="4" max="5" width="12.5" customWidth="1"/>
    <col min="6" max="6" width="15.33203125" customWidth="1"/>
    <col min="7" max="7" width="12.83203125" customWidth="1"/>
    <col min="8" max="8" width="16.5" customWidth="1"/>
    <col min="9" max="9" width="15.33203125" customWidth="1"/>
    <col min="10" max="10" width="20.1640625" customWidth="1"/>
    <col min="12" max="12" width="19.6640625" customWidth="1"/>
    <col min="14" max="14" width="10.83203125" style="6"/>
  </cols>
  <sheetData>
    <row r="1" spans="1:14" s="2" customFormat="1" x14ac:dyDescent="0.2">
      <c r="A1" s="2" t="s">
        <v>0</v>
      </c>
      <c r="B1" s="2" t="s">
        <v>4</v>
      </c>
      <c r="C1" s="2" t="s">
        <v>13</v>
      </c>
      <c r="D1" s="2" t="s">
        <v>1</v>
      </c>
      <c r="E1" s="2" t="s">
        <v>64</v>
      </c>
      <c r="F1" s="2" t="s">
        <v>2</v>
      </c>
      <c r="G1" s="2" t="s">
        <v>3</v>
      </c>
      <c r="H1" s="2" t="s">
        <v>10</v>
      </c>
      <c r="I1" s="2" t="s">
        <v>11</v>
      </c>
      <c r="J1" s="2" t="s">
        <v>12</v>
      </c>
      <c r="K1" s="2" t="s">
        <v>16</v>
      </c>
      <c r="L1" s="2" t="s">
        <v>67</v>
      </c>
      <c r="M1" s="2" t="s">
        <v>68</v>
      </c>
      <c r="N1" s="5" t="s">
        <v>69</v>
      </c>
    </row>
    <row r="2" spans="1:14" s="11" customFormat="1" x14ac:dyDescent="0.2">
      <c r="A2" s="11" t="s">
        <v>100</v>
      </c>
      <c r="B2" s="11">
        <v>6</v>
      </c>
      <c r="C2" s="11" t="s">
        <v>23</v>
      </c>
      <c r="E2" s="12">
        <v>46023</v>
      </c>
      <c r="F2" s="12">
        <v>46023</v>
      </c>
      <c r="G2" s="11">
        <v>365</v>
      </c>
      <c r="H2" s="11">
        <f>850*12</f>
        <v>10200</v>
      </c>
      <c r="I2" s="11">
        <v>0</v>
      </c>
      <c r="J2" s="11">
        <v>0</v>
      </c>
      <c r="K2" s="11">
        <f t="shared" ref="K2" si="0">H2-I2-J2</f>
        <v>10200</v>
      </c>
      <c r="L2" s="11">
        <f t="shared" ref="L2" si="1">SUM(I2:J2)</f>
        <v>0</v>
      </c>
      <c r="M2" s="13">
        <f t="shared" ref="M2" si="2">(H2-L2)/H2</f>
        <v>1</v>
      </c>
      <c r="N2" s="14">
        <f t="shared" ref="N2" si="3">K2/G2</f>
        <v>27.945205479452056</v>
      </c>
    </row>
    <row r="3" spans="1:14" s="11" customFormat="1" x14ac:dyDescent="0.2">
      <c r="A3" s="11" t="s">
        <v>101</v>
      </c>
      <c r="B3" s="11">
        <v>8</v>
      </c>
      <c r="C3" s="11" t="s">
        <v>23</v>
      </c>
      <c r="E3" s="12">
        <v>46023</v>
      </c>
      <c r="F3" s="12">
        <v>46023</v>
      </c>
      <c r="G3" s="11">
        <v>365</v>
      </c>
      <c r="H3" s="11">
        <f>500*12</f>
        <v>6000</v>
      </c>
      <c r="I3" s="11">
        <v>0</v>
      </c>
      <c r="J3" s="11">
        <v>0</v>
      </c>
      <c r="K3" s="11">
        <f t="shared" ref="K3" si="4">H3-I3-J3</f>
        <v>6000</v>
      </c>
      <c r="L3" s="11">
        <f t="shared" ref="L3" si="5">SUM(I3:J3)</f>
        <v>0</v>
      </c>
      <c r="M3" s="13">
        <f t="shared" ref="M3" si="6">(H3-L3)/H3</f>
        <v>1</v>
      </c>
      <c r="N3" s="14">
        <f t="shared" ref="N3" si="7">K3/G3</f>
        <v>16.438356164383563</v>
      </c>
    </row>
    <row r="4" spans="1:14" x14ac:dyDescent="0.2">
      <c r="A4" t="s">
        <v>14</v>
      </c>
      <c r="B4">
        <v>2</v>
      </c>
      <c r="C4" t="s">
        <v>15</v>
      </c>
      <c r="F4" s="3">
        <v>46052</v>
      </c>
      <c r="G4">
        <v>3</v>
      </c>
      <c r="H4">
        <v>218.85</v>
      </c>
      <c r="I4">
        <v>85</v>
      </c>
      <c r="J4">
        <f t="shared" ref="J4:J34" si="8">(H4-I4)*24%</f>
        <v>32.123999999999995</v>
      </c>
      <c r="K4">
        <f t="shared" ref="K4:K52" si="9">H4-I4-J4</f>
        <v>101.726</v>
      </c>
      <c r="L4">
        <f t="shared" ref="L4:L52" si="10">SUM(I4:J4)</f>
        <v>117.124</v>
      </c>
      <c r="M4" s="4">
        <f t="shared" ref="M4:M52" si="11">(H4-L4)/H4</f>
        <v>0.46482065341558143</v>
      </c>
      <c r="N4" s="6">
        <f t="shared" ref="N4:N52" si="12">K4/G4</f>
        <v>33.908666666666669</v>
      </c>
    </row>
    <row r="5" spans="1:14" x14ac:dyDescent="0.2">
      <c r="A5" t="s">
        <v>25</v>
      </c>
      <c r="B5">
        <v>2</v>
      </c>
      <c r="C5" t="s">
        <v>15</v>
      </c>
      <c r="E5" s="3">
        <v>46055</v>
      </c>
      <c r="F5" s="3">
        <v>46055</v>
      </c>
      <c r="G5">
        <v>3</v>
      </c>
      <c r="H5">
        <v>218.85</v>
      </c>
      <c r="I5">
        <v>85</v>
      </c>
      <c r="J5">
        <f t="shared" si="8"/>
        <v>32.123999999999995</v>
      </c>
      <c r="K5">
        <f t="shared" si="9"/>
        <v>101.726</v>
      </c>
      <c r="L5">
        <f t="shared" si="10"/>
        <v>117.124</v>
      </c>
      <c r="M5" s="4">
        <f t="shared" si="11"/>
        <v>0.46482065341558143</v>
      </c>
      <c r="N5" s="6">
        <f t="shared" si="12"/>
        <v>33.908666666666669</v>
      </c>
    </row>
    <row r="6" spans="1:14" x14ac:dyDescent="0.2">
      <c r="A6" t="s">
        <v>34</v>
      </c>
      <c r="B6">
        <v>5</v>
      </c>
      <c r="C6" t="s">
        <v>15</v>
      </c>
      <c r="E6" s="3">
        <v>46035</v>
      </c>
      <c r="F6" s="3">
        <v>46080</v>
      </c>
      <c r="G6">
        <v>2</v>
      </c>
      <c r="H6">
        <v>155.19999999999999</v>
      </c>
      <c r="I6">
        <v>65</v>
      </c>
      <c r="J6">
        <f t="shared" si="8"/>
        <v>21.647999999999996</v>
      </c>
      <c r="K6">
        <f t="shared" si="9"/>
        <v>68.551999999999992</v>
      </c>
      <c r="L6">
        <f t="shared" si="10"/>
        <v>86.647999999999996</v>
      </c>
      <c r="M6" s="4">
        <f t="shared" si="11"/>
        <v>0.44170103092783503</v>
      </c>
      <c r="N6" s="6">
        <f t="shared" si="12"/>
        <v>34.275999999999996</v>
      </c>
    </row>
    <row r="7" spans="1:14" x14ac:dyDescent="0.2">
      <c r="A7" t="s">
        <v>17</v>
      </c>
      <c r="B7">
        <v>5</v>
      </c>
      <c r="C7" t="s">
        <v>18</v>
      </c>
      <c r="F7" s="3">
        <v>46043</v>
      </c>
      <c r="G7">
        <v>5</v>
      </c>
      <c r="H7">
        <v>300</v>
      </c>
      <c r="I7">
        <v>65</v>
      </c>
      <c r="J7">
        <f t="shared" si="8"/>
        <v>56.4</v>
      </c>
      <c r="K7">
        <f t="shared" si="9"/>
        <v>178.6</v>
      </c>
      <c r="L7">
        <f t="shared" si="10"/>
        <v>121.4</v>
      </c>
      <c r="M7" s="4">
        <f t="shared" si="11"/>
        <v>0.59533333333333327</v>
      </c>
      <c r="N7" s="6">
        <f t="shared" si="12"/>
        <v>35.72</v>
      </c>
    </row>
    <row r="8" spans="1:14" x14ac:dyDescent="0.2">
      <c r="A8" t="s">
        <v>24</v>
      </c>
      <c r="B8">
        <v>2</v>
      </c>
      <c r="C8" t="s">
        <v>15</v>
      </c>
      <c r="E8" s="3">
        <v>46047</v>
      </c>
      <c r="F8" s="3">
        <v>46059</v>
      </c>
      <c r="G8">
        <v>2</v>
      </c>
      <c r="H8">
        <v>181.67</v>
      </c>
      <c r="I8">
        <v>85</v>
      </c>
      <c r="J8">
        <f t="shared" si="8"/>
        <v>23.200799999999997</v>
      </c>
      <c r="K8">
        <f t="shared" si="9"/>
        <v>73.469199999999987</v>
      </c>
      <c r="L8">
        <f t="shared" si="10"/>
        <v>108.2008</v>
      </c>
      <c r="M8" s="4">
        <f t="shared" si="11"/>
        <v>0.40441019430836128</v>
      </c>
      <c r="N8" s="6">
        <f t="shared" si="12"/>
        <v>36.734599999999993</v>
      </c>
    </row>
    <row r="9" spans="1:14" x14ac:dyDescent="0.2">
      <c r="A9" t="s">
        <v>32</v>
      </c>
      <c r="B9">
        <v>2</v>
      </c>
      <c r="C9" t="s">
        <v>15</v>
      </c>
      <c r="E9" s="3">
        <v>46089</v>
      </c>
      <c r="F9" s="3">
        <v>46101</v>
      </c>
      <c r="G9">
        <v>2</v>
      </c>
      <c r="H9">
        <v>215.47</v>
      </c>
      <c r="I9">
        <v>105</v>
      </c>
      <c r="J9">
        <f t="shared" si="8"/>
        <v>26.512799999999999</v>
      </c>
      <c r="K9">
        <f t="shared" si="9"/>
        <v>83.9572</v>
      </c>
      <c r="L9">
        <f t="shared" si="10"/>
        <v>131.5128</v>
      </c>
      <c r="M9" s="4">
        <f t="shared" si="11"/>
        <v>0.38964681858263334</v>
      </c>
      <c r="N9" s="6">
        <f t="shared" si="12"/>
        <v>41.9786</v>
      </c>
    </row>
    <row r="10" spans="1:14" x14ac:dyDescent="0.2">
      <c r="A10" t="s">
        <v>35</v>
      </c>
      <c r="B10">
        <v>5</v>
      </c>
      <c r="C10" t="s">
        <v>15</v>
      </c>
      <c r="E10" s="3">
        <v>46085</v>
      </c>
      <c r="F10" s="3">
        <v>46086</v>
      </c>
      <c r="G10">
        <v>3</v>
      </c>
      <c r="H10">
        <v>236.18</v>
      </c>
      <c r="I10">
        <v>65</v>
      </c>
      <c r="J10">
        <f t="shared" si="8"/>
        <v>41.083199999999998</v>
      </c>
      <c r="K10">
        <f t="shared" si="9"/>
        <v>130.0968</v>
      </c>
      <c r="L10">
        <f t="shared" si="10"/>
        <v>106.08320000000001</v>
      </c>
      <c r="M10" s="4">
        <f t="shared" si="11"/>
        <v>0.55083749682445593</v>
      </c>
      <c r="N10" s="6">
        <f t="shared" si="12"/>
        <v>43.365600000000001</v>
      </c>
    </row>
    <row r="11" spans="1:14" x14ac:dyDescent="0.2">
      <c r="A11" t="s">
        <v>26</v>
      </c>
      <c r="B11">
        <v>2</v>
      </c>
      <c r="C11" t="s">
        <v>18</v>
      </c>
      <c r="E11" s="3">
        <v>46060</v>
      </c>
      <c r="F11" s="3">
        <v>46074</v>
      </c>
      <c r="G11">
        <v>14</v>
      </c>
      <c r="H11">
        <v>890</v>
      </c>
      <c r="I11">
        <v>85</v>
      </c>
      <c r="J11">
        <f t="shared" si="8"/>
        <v>193.2</v>
      </c>
      <c r="K11">
        <f t="shared" si="9"/>
        <v>611.79999999999995</v>
      </c>
      <c r="L11">
        <f t="shared" si="10"/>
        <v>278.2</v>
      </c>
      <c r="M11" s="4">
        <f t="shared" si="11"/>
        <v>0.68741573033707859</v>
      </c>
      <c r="N11" s="6">
        <f t="shared" si="12"/>
        <v>43.699999999999996</v>
      </c>
    </row>
    <row r="12" spans="1:14" x14ac:dyDescent="0.2">
      <c r="A12" t="s">
        <v>26</v>
      </c>
      <c r="B12">
        <v>4</v>
      </c>
      <c r="C12" t="s">
        <v>18</v>
      </c>
      <c r="E12" s="3">
        <v>46060</v>
      </c>
      <c r="F12" s="3">
        <v>46074</v>
      </c>
      <c r="G12">
        <v>14</v>
      </c>
      <c r="H12">
        <v>890</v>
      </c>
      <c r="I12">
        <v>85</v>
      </c>
      <c r="J12">
        <f t="shared" si="8"/>
        <v>193.2</v>
      </c>
      <c r="K12">
        <f t="shared" si="9"/>
        <v>611.79999999999995</v>
      </c>
      <c r="L12">
        <f t="shared" si="10"/>
        <v>278.2</v>
      </c>
      <c r="M12" s="4">
        <f t="shared" si="11"/>
        <v>0.68741573033707859</v>
      </c>
      <c r="N12" s="6">
        <f t="shared" si="12"/>
        <v>43.699999999999996</v>
      </c>
    </row>
    <row r="13" spans="1:14" x14ac:dyDescent="0.2">
      <c r="A13" t="s">
        <v>27</v>
      </c>
      <c r="B13">
        <v>5</v>
      </c>
      <c r="C13" t="s">
        <v>28</v>
      </c>
      <c r="E13" s="3">
        <v>46074</v>
      </c>
      <c r="F13" s="3">
        <v>46077</v>
      </c>
      <c r="G13">
        <v>2</v>
      </c>
      <c r="H13">
        <v>185</v>
      </c>
      <c r="I13">
        <v>65</v>
      </c>
      <c r="J13">
        <f t="shared" si="8"/>
        <v>28.799999999999997</v>
      </c>
      <c r="K13">
        <f t="shared" si="9"/>
        <v>91.2</v>
      </c>
      <c r="L13">
        <f t="shared" si="10"/>
        <v>93.8</v>
      </c>
      <c r="M13" s="4">
        <f t="shared" si="11"/>
        <v>0.49297297297297299</v>
      </c>
      <c r="N13" s="6">
        <f t="shared" si="12"/>
        <v>45.6</v>
      </c>
    </row>
    <row r="14" spans="1:14" x14ac:dyDescent="0.2">
      <c r="A14" t="s">
        <v>33</v>
      </c>
      <c r="B14">
        <v>4</v>
      </c>
      <c r="C14" t="s">
        <v>15</v>
      </c>
      <c r="E14" s="3">
        <v>46060</v>
      </c>
      <c r="F14" s="3">
        <v>46097</v>
      </c>
      <c r="G14">
        <v>10</v>
      </c>
      <c r="H14">
        <v>720.5</v>
      </c>
      <c r="I14">
        <v>85</v>
      </c>
      <c r="J14">
        <f t="shared" si="8"/>
        <v>152.51999999999998</v>
      </c>
      <c r="K14">
        <f t="shared" si="9"/>
        <v>482.98</v>
      </c>
      <c r="L14">
        <f t="shared" si="10"/>
        <v>237.51999999999998</v>
      </c>
      <c r="M14" s="4">
        <f t="shared" si="11"/>
        <v>0.67034004163775163</v>
      </c>
      <c r="N14" s="6">
        <f t="shared" si="12"/>
        <v>48.298000000000002</v>
      </c>
    </row>
    <row r="15" spans="1:14" x14ac:dyDescent="0.2">
      <c r="A15" t="s">
        <v>40</v>
      </c>
      <c r="B15">
        <v>4</v>
      </c>
      <c r="C15" t="s">
        <v>15</v>
      </c>
      <c r="E15" s="3">
        <v>46056</v>
      </c>
      <c r="F15" s="3">
        <v>46111</v>
      </c>
      <c r="G15">
        <v>7</v>
      </c>
      <c r="H15">
        <v>557.30999999999995</v>
      </c>
      <c r="I15">
        <v>85</v>
      </c>
      <c r="J15">
        <f t="shared" si="8"/>
        <v>113.35439999999998</v>
      </c>
      <c r="K15">
        <f t="shared" si="9"/>
        <v>358.95559999999995</v>
      </c>
      <c r="L15">
        <f t="shared" si="10"/>
        <v>198.3544</v>
      </c>
      <c r="M15" s="4">
        <f t="shared" si="11"/>
        <v>0.64408605623441173</v>
      </c>
      <c r="N15" s="6">
        <f t="shared" si="12"/>
        <v>51.279371428571423</v>
      </c>
    </row>
    <row r="16" spans="1:14" x14ac:dyDescent="0.2">
      <c r="A16" t="s">
        <v>37</v>
      </c>
      <c r="B16">
        <v>2</v>
      </c>
      <c r="C16" t="s">
        <v>15</v>
      </c>
      <c r="E16" s="3">
        <v>46043</v>
      </c>
      <c r="F16" s="3">
        <v>46137</v>
      </c>
      <c r="G16">
        <v>8</v>
      </c>
      <c r="H16">
        <v>638.14</v>
      </c>
      <c r="I16">
        <v>85</v>
      </c>
      <c r="J16">
        <f t="shared" si="8"/>
        <v>132.75360000000001</v>
      </c>
      <c r="K16">
        <f t="shared" si="9"/>
        <v>420.38639999999998</v>
      </c>
      <c r="L16">
        <f t="shared" si="10"/>
        <v>217.75360000000001</v>
      </c>
      <c r="M16" s="4">
        <f t="shared" si="11"/>
        <v>0.65876829535838533</v>
      </c>
      <c r="N16" s="6">
        <f t="shared" si="12"/>
        <v>52.548299999999998</v>
      </c>
    </row>
    <row r="17" spans="1:14" x14ac:dyDescent="0.2">
      <c r="A17" t="s">
        <v>41</v>
      </c>
      <c r="B17">
        <v>5</v>
      </c>
      <c r="C17" t="s">
        <v>18</v>
      </c>
      <c r="E17" s="3">
        <v>46082</v>
      </c>
      <c r="F17" s="3">
        <v>46112</v>
      </c>
      <c r="G17">
        <v>9</v>
      </c>
      <c r="H17">
        <v>715</v>
      </c>
      <c r="I17">
        <v>85</v>
      </c>
      <c r="J17">
        <f t="shared" si="8"/>
        <v>151.19999999999999</v>
      </c>
      <c r="K17">
        <f t="shared" si="9"/>
        <v>478.8</v>
      </c>
      <c r="L17">
        <f t="shared" si="10"/>
        <v>236.2</v>
      </c>
      <c r="M17" s="4">
        <f t="shared" si="11"/>
        <v>0.66965034965034964</v>
      </c>
      <c r="N17" s="6">
        <f t="shared" si="12"/>
        <v>53.2</v>
      </c>
    </row>
    <row r="18" spans="1:14" x14ac:dyDescent="0.2">
      <c r="A18" t="s">
        <v>43</v>
      </c>
      <c r="B18">
        <v>2</v>
      </c>
      <c r="C18" t="s">
        <v>15</v>
      </c>
      <c r="E18" s="3">
        <v>46037</v>
      </c>
      <c r="F18" s="3">
        <v>46154</v>
      </c>
      <c r="G18">
        <v>6</v>
      </c>
      <c r="H18">
        <v>598.26</v>
      </c>
      <c r="I18">
        <v>120</v>
      </c>
      <c r="J18">
        <f t="shared" si="8"/>
        <v>114.7824</v>
      </c>
      <c r="K18">
        <f t="shared" si="9"/>
        <v>363.4776</v>
      </c>
      <c r="L18">
        <f t="shared" si="10"/>
        <v>234.7824</v>
      </c>
      <c r="M18" s="4">
        <f t="shared" si="11"/>
        <v>0.60755791796209002</v>
      </c>
      <c r="N18" s="6">
        <f t="shared" si="12"/>
        <v>60.579599999999999</v>
      </c>
    </row>
    <row r="19" spans="1:14" x14ac:dyDescent="0.2">
      <c r="A19" t="s">
        <v>38</v>
      </c>
      <c r="B19">
        <v>2</v>
      </c>
      <c r="C19" t="s">
        <v>15</v>
      </c>
      <c r="E19" s="3">
        <v>46046</v>
      </c>
      <c r="F19" s="3">
        <v>46118</v>
      </c>
      <c r="G19">
        <v>12</v>
      </c>
      <c r="H19">
        <v>1043.1500000000001</v>
      </c>
      <c r="I19">
        <v>85</v>
      </c>
      <c r="J19">
        <f t="shared" si="8"/>
        <v>229.95600000000002</v>
      </c>
      <c r="K19">
        <f t="shared" si="9"/>
        <v>728.19400000000007</v>
      </c>
      <c r="L19">
        <f t="shared" si="10"/>
        <v>314.95600000000002</v>
      </c>
      <c r="M19" s="4">
        <f t="shared" si="11"/>
        <v>0.69807218520826342</v>
      </c>
      <c r="N19" s="6">
        <f t="shared" si="12"/>
        <v>60.682833333333342</v>
      </c>
    </row>
    <row r="20" spans="1:14" x14ac:dyDescent="0.2">
      <c r="A20" t="s">
        <v>45</v>
      </c>
      <c r="B20">
        <v>2</v>
      </c>
      <c r="C20" t="s">
        <v>15</v>
      </c>
      <c r="E20" s="3">
        <v>46108</v>
      </c>
      <c r="F20" s="3">
        <v>46146</v>
      </c>
      <c r="G20">
        <v>5</v>
      </c>
      <c r="H20">
        <v>523.9</v>
      </c>
      <c r="I20">
        <v>105</v>
      </c>
      <c r="J20">
        <f t="shared" si="8"/>
        <v>100.53599999999999</v>
      </c>
      <c r="K20">
        <f t="shared" si="9"/>
        <v>318.36399999999998</v>
      </c>
      <c r="L20">
        <f t="shared" si="10"/>
        <v>205.536</v>
      </c>
      <c r="M20" s="4">
        <f t="shared" si="11"/>
        <v>0.60768085512502379</v>
      </c>
      <c r="N20" s="6">
        <f t="shared" si="12"/>
        <v>63.672799999999995</v>
      </c>
    </row>
    <row r="21" spans="1:14" x14ac:dyDescent="0.2">
      <c r="A21" t="s">
        <v>61</v>
      </c>
      <c r="B21">
        <v>4</v>
      </c>
      <c r="C21" t="s">
        <v>15</v>
      </c>
      <c r="E21" s="3">
        <v>46119</v>
      </c>
      <c r="F21" s="3">
        <v>46119</v>
      </c>
      <c r="G21">
        <v>4</v>
      </c>
      <c r="H21">
        <v>440.52</v>
      </c>
      <c r="I21">
        <v>105</v>
      </c>
      <c r="J21">
        <f t="shared" si="8"/>
        <v>80.524799999999999</v>
      </c>
      <c r="K21">
        <f t="shared" si="9"/>
        <v>254.99519999999998</v>
      </c>
      <c r="L21">
        <f t="shared" si="10"/>
        <v>185.5248</v>
      </c>
      <c r="M21" s="4">
        <f t="shared" si="11"/>
        <v>0.57885044946880959</v>
      </c>
      <c r="N21" s="6">
        <f t="shared" si="12"/>
        <v>63.748799999999996</v>
      </c>
    </row>
    <row r="22" spans="1:14" x14ac:dyDescent="0.2">
      <c r="A22" t="s">
        <v>54</v>
      </c>
      <c r="B22">
        <v>5</v>
      </c>
      <c r="C22" t="s">
        <v>15</v>
      </c>
      <c r="E22" s="3">
        <v>46031</v>
      </c>
      <c r="F22" s="3">
        <v>46211</v>
      </c>
      <c r="G22">
        <v>14</v>
      </c>
      <c r="H22">
        <v>1260.83</v>
      </c>
      <c r="I22">
        <v>65</v>
      </c>
      <c r="J22">
        <f t="shared" si="8"/>
        <v>286.99919999999997</v>
      </c>
      <c r="K22">
        <f t="shared" si="9"/>
        <v>908.83079999999995</v>
      </c>
      <c r="L22">
        <f t="shared" si="10"/>
        <v>351.99919999999997</v>
      </c>
      <c r="M22" s="4">
        <f t="shared" si="11"/>
        <v>0.7208194601968545</v>
      </c>
      <c r="N22" s="6">
        <f t="shared" si="12"/>
        <v>64.916485714285713</v>
      </c>
    </row>
    <row r="23" spans="1:14" x14ac:dyDescent="0.2">
      <c r="A23" t="s">
        <v>49</v>
      </c>
      <c r="B23">
        <v>2</v>
      </c>
      <c r="C23" t="s">
        <v>15</v>
      </c>
      <c r="E23" s="3">
        <v>46070</v>
      </c>
      <c r="F23" s="3">
        <v>46172</v>
      </c>
      <c r="G23">
        <v>7</v>
      </c>
      <c r="H23">
        <v>689.94</v>
      </c>
      <c r="I23">
        <v>85</v>
      </c>
      <c r="J23">
        <f t="shared" si="8"/>
        <v>145.18559999999999</v>
      </c>
      <c r="K23">
        <f t="shared" si="9"/>
        <v>459.75440000000003</v>
      </c>
      <c r="L23">
        <f t="shared" si="10"/>
        <v>230.18559999999999</v>
      </c>
      <c r="M23" s="4">
        <f t="shared" si="11"/>
        <v>0.66636866973939757</v>
      </c>
      <c r="N23" s="6">
        <f t="shared" si="12"/>
        <v>65.679200000000009</v>
      </c>
    </row>
    <row r="24" spans="1:14" x14ac:dyDescent="0.2">
      <c r="A24" t="s">
        <v>50</v>
      </c>
      <c r="B24">
        <v>2</v>
      </c>
      <c r="C24" t="s">
        <v>21</v>
      </c>
      <c r="E24" s="3">
        <v>46102</v>
      </c>
      <c r="F24" s="3">
        <v>46194</v>
      </c>
      <c r="G24">
        <v>7</v>
      </c>
      <c r="H24">
        <v>690.36</v>
      </c>
      <c r="I24">
        <v>85</v>
      </c>
      <c r="J24">
        <f t="shared" si="8"/>
        <v>145.28639999999999</v>
      </c>
      <c r="K24">
        <f t="shared" si="9"/>
        <v>460.07360000000006</v>
      </c>
      <c r="L24">
        <f t="shared" si="10"/>
        <v>230.28639999999999</v>
      </c>
      <c r="M24" s="4">
        <f t="shared" si="11"/>
        <v>0.66642563300307089</v>
      </c>
      <c r="N24" s="6">
        <f t="shared" si="12"/>
        <v>65.724800000000002</v>
      </c>
    </row>
    <row r="25" spans="1:14" x14ac:dyDescent="0.2">
      <c r="A25" t="s">
        <v>66</v>
      </c>
      <c r="B25">
        <v>2</v>
      </c>
      <c r="C25" t="s">
        <v>15</v>
      </c>
      <c r="E25" s="3">
        <v>46125</v>
      </c>
      <c r="F25" s="3">
        <v>46164</v>
      </c>
      <c r="G25">
        <v>2</v>
      </c>
      <c r="H25">
        <v>287.3</v>
      </c>
      <c r="I25">
        <v>105</v>
      </c>
      <c r="J25">
        <f t="shared" si="8"/>
        <v>43.752000000000002</v>
      </c>
      <c r="K25">
        <f t="shared" si="9"/>
        <v>138.548</v>
      </c>
      <c r="L25">
        <f t="shared" si="10"/>
        <v>148.75200000000001</v>
      </c>
      <c r="M25" s="4">
        <f t="shared" si="11"/>
        <v>0.48224155934563173</v>
      </c>
      <c r="N25" s="6">
        <f t="shared" si="12"/>
        <v>69.274000000000001</v>
      </c>
    </row>
    <row r="26" spans="1:14" x14ac:dyDescent="0.2">
      <c r="A26" t="s">
        <v>39</v>
      </c>
      <c r="B26">
        <v>2</v>
      </c>
      <c r="C26" t="s">
        <v>15</v>
      </c>
      <c r="E26" s="3">
        <v>46070</v>
      </c>
      <c r="F26" s="3">
        <v>46130</v>
      </c>
      <c r="G26">
        <v>4</v>
      </c>
      <c r="H26">
        <v>460.52</v>
      </c>
      <c r="I26">
        <v>85</v>
      </c>
      <c r="J26">
        <f t="shared" si="8"/>
        <v>90.124799999999993</v>
      </c>
      <c r="K26">
        <f t="shared" si="9"/>
        <v>285.39519999999999</v>
      </c>
      <c r="L26">
        <f t="shared" si="10"/>
        <v>175.12479999999999</v>
      </c>
      <c r="M26" s="4">
        <f t="shared" si="11"/>
        <v>0.61972379049769821</v>
      </c>
      <c r="N26" s="6">
        <f t="shared" si="12"/>
        <v>71.348799999999997</v>
      </c>
    </row>
    <row r="27" spans="1:14" x14ac:dyDescent="0.2">
      <c r="A27" t="s">
        <v>51</v>
      </c>
      <c r="B27">
        <v>2</v>
      </c>
      <c r="C27" t="s">
        <v>21</v>
      </c>
      <c r="E27" s="3">
        <v>46102</v>
      </c>
      <c r="F27" s="3">
        <v>46229</v>
      </c>
      <c r="G27">
        <v>7</v>
      </c>
      <c r="H27">
        <v>780</v>
      </c>
      <c r="I27">
        <v>105</v>
      </c>
      <c r="J27">
        <f t="shared" si="8"/>
        <v>162</v>
      </c>
      <c r="K27">
        <f t="shared" si="9"/>
        <v>513</v>
      </c>
      <c r="L27">
        <f t="shared" si="10"/>
        <v>267</v>
      </c>
      <c r="M27" s="4">
        <f t="shared" si="11"/>
        <v>0.65769230769230769</v>
      </c>
      <c r="N27" s="6">
        <f t="shared" si="12"/>
        <v>73.285714285714292</v>
      </c>
    </row>
    <row r="28" spans="1:14" x14ac:dyDescent="0.2">
      <c r="A28" t="s">
        <v>56</v>
      </c>
      <c r="B28">
        <v>2</v>
      </c>
      <c r="C28" t="s">
        <v>15</v>
      </c>
      <c r="E28" s="3">
        <v>46036</v>
      </c>
      <c r="F28" s="3">
        <v>46240</v>
      </c>
      <c r="G28">
        <v>9</v>
      </c>
      <c r="H28">
        <v>1017.38</v>
      </c>
      <c r="I28">
        <v>120</v>
      </c>
      <c r="J28">
        <f t="shared" si="8"/>
        <v>215.37119999999999</v>
      </c>
      <c r="K28">
        <f t="shared" si="9"/>
        <v>682.00880000000006</v>
      </c>
      <c r="L28">
        <f t="shared" si="10"/>
        <v>335.37119999999999</v>
      </c>
      <c r="M28" s="4">
        <f t="shared" si="11"/>
        <v>0.67035797833651145</v>
      </c>
      <c r="N28" s="6">
        <f t="shared" si="12"/>
        <v>75.778755555555563</v>
      </c>
    </row>
    <row r="29" spans="1:14" x14ac:dyDescent="0.2">
      <c r="A29" t="s">
        <v>51</v>
      </c>
      <c r="B29">
        <v>2</v>
      </c>
      <c r="C29" t="s">
        <v>21</v>
      </c>
      <c r="E29" s="3">
        <v>46102</v>
      </c>
      <c r="F29" s="3">
        <v>46180</v>
      </c>
      <c r="G29">
        <v>14</v>
      </c>
      <c r="H29">
        <v>1600</v>
      </c>
      <c r="I29">
        <v>105</v>
      </c>
      <c r="J29">
        <f t="shared" si="8"/>
        <v>358.8</v>
      </c>
      <c r="K29">
        <f t="shared" si="9"/>
        <v>1136.2</v>
      </c>
      <c r="L29">
        <f t="shared" si="10"/>
        <v>463.8</v>
      </c>
      <c r="M29" s="4">
        <f t="shared" si="11"/>
        <v>0.71012500000000001</v>
      </c>
      <c r="N29" s="6">
        <f t="shared" si="12"/>
        <v>81.157142857142858</v>
      </c>
    </row>
    <row r="30" spans="1:14" x14ac:dyDescent="0.2">
      <c r="A30" t="s">
        <v>51</v>
      </c>
      <c r="B30">
        <v>2</v>
      </c>
      <c r="C30" t="s">
        <v>21</v>
      </c>
      <c r="E30" s="3">
        <v>46102</v>
      </c>
      <c r="F30" s="3">
        <v>46222</v>
      </c>
      <c r="G30">
        <v>7</v>
      </c>
      <c r="H30">
        <v>890</v>
      </c>
      <c r="I30">
        <v>105</v>
      </c>
      <c r="J30">
        <f t="shared" si="8"/>
        <v>188.4</v>
      </c>
      <c r="K30">
        <f t="shared" si="9"/>
        <v>596.6</v>
      </c>
      <c r="L30">
        <f t="shared" si="10"/>
        <v>293.39999999999998</v>
      </c>
      <c r="M30" s="4">
        <f t="shared" si="11"/>
        <v>0.67033707865168546</v>
      </c>
      <c r="N30" s="6">
        <f t="shared" si="12"/>
        <v>85.228571428571428</v>
      </c>
    </row>
    <row r="31" spans="1:14" x14ac:dyDescent="0.2">
      <c r="A31" t="s">
        <v>60</v>
      </c>
      <c r="B31">
        <v>5</v>
      </c>
      <c r="C31" t="s">
        <v>15</v>
      </c>
      <c r="E31" s="3">
        <v>46124</v>
      </c>
      <c r="F31" s="3">
        <v>46239</v>
      </c>
      <c r="G31">
        <v>11</v>
      </c>
      <c r="H31">
        <v>1492.27</v>
      </c>
      <c r="I31">
        <v>85</v>
      </c>
      <c r="J31">
        <f t="shared" si="8"/>
        <v>337.7448</v>
      </c>
      <c r="K31">
        <f t="shared" si="9"/>
        <v>1069.5252</v>
      </c>
      <c r="L31">
        <f t="shared" si="10"/>
        <v>422.7448</v>
      </c>
      <c r="M31" s="4">
        <f t="shared" si="11"/>
        <v>0.7167102468052029</v>
      </c>
      <c r="N31" s="6">
        <f t="shared" si="12"/>
        <v>97.229563636363636</v>
      </c>
    </row>
    <row r="32" spans="1:14" x14ac:dyDescent="0.2">
      <c r="A32" t="s">
        <v>52</v>
      </c>
      <c r="B32">
        <v>2</v>
      </c>
      <c r="C32" t="s">
        <v>15</v>
      </c>
      <c r="E32" s="3">
        <v>46097</v>
      </c>
      <c r="F32" s="3">
        <v>46214</v>
      </c>
      <c r="G32">
        <v>7</v>
      </c>
      <c r="H32">
        <v>1013.83</v>
      </c>
      <c r="I32">
        <v>105</v>
      </c>
      <c r="J32">
        <f t="shared" si="8"/>
        <v>218.11920000000001</v>
      </c>
      <c r="K32">
        <f t="shared" si="9"/>
        <v>690.71080000000006</v>
      </c>
      <c r="L32">
        <f t="shared" si="10"/>
        <v>323.11919999999998</v>
      </c>
      <c r="M32" s="4">
        <f t="shared" si="11"/>
        <v>0.68128857895307893</v>
      </c>
      <c r="N32" s="6">
        <f t="shared" si="12"/>
        <v>98.672971428571444</v>
      </c>
    </row>
    <row r="33" spans="1:14" x14ac:dyDescent="0.2">
      <c r="A33" t="s">
        <v>57</v>
      </c>
      <c r="B33">
        <v>2</v>
      </c>
      <c r="C33" t="s">
        <v>15</v>
      </c>
      <c r="E33" s="3">
        <v>46047</v>
      </c>
      <c r="F33" s="3">
        <v>46249</v>
      </c>
      <c r="G33">
        <v>5</v>
      </c>
      <c r="H33">
        <v>790.07</v>
      </c>
      <c r="I33">
        <v>85</v>
      </c>
      <c r="J33">
        <f t="shared" si="8"/>
        <v>169.21680000000001</v>
      </c>
      <c r="K33">
        <f t="shared" si="9"/>
        <v>535.85320000000002</v>
      </c>
      <c r="L33">
        <f t="shared" si="10"/>
        <v>254.21680000000001</v>
      </c>
      <c r="M33" s="4">
        <f t="shared" si="11"/>
        <v>0.67823509309301711</v>
      </c>
      <c r="N33" s="6">
        <f t="shared" si="12"/>
        <v>107.17064000000001</v>
      </c>
    </row>
    <row r="34" spans="1:14" x14ac:dyDescent="0.2">
      <c r="A34" t="s">
        <v>53</v>
      </c>
      <c r="B34">
        <v>4</v>
      </c>
      <c r="C34" t="s">
        <v>15</v>
      </c>
      <c r="E34" s="3">
        <v>46099</v>
      </c>
      <c r="F34" s="3">
        <v>46211</v>
      </c>
      <c r="G34">
        <v>14</v>
      </c>
      <c r="H34">
        <v>2087.84</v>
      </c>
      <c r="I34">
        <v>105</v>
      </c>
      <c r="J34">
        <f t="shared" si="8"/>
        <v>475.88159999999999</v>
      </c>
      <c r="K34">
        <f t="shared" si="9"/>
        <v>1506.9584000000002</v>
      </c>
      <c r="L34">
        <f t="shared" si="10"/>
        <v>580.88159999999993</v>
      </c>
      <c r="M34" s="4">
        <f t="shared" si="11"/>
        <v>0.72177868035864823</v>
      </c>
      <c r="N34" s="6">
        <f t="shared" si="12"/>
        <v>107.63988571428573</v>
      </c>
    </row>
    <row r="35" spans="1:14" x14ac:dyDescent="0.2">
      <c r="A35" t="s">
        <v>36</v>
      </c>
      <c r="B35">
        <v>0</v>
      </c>
      <c r="C35" t="s">
        <v>15</v>
      </c>
      <c r="E35" s="3">
        <v>46084</v>
      </c>
      <c r="F35" s="3">
        <v>46086</v>
      </c>
      <c r="G35">
        <v>4</v>
      </c>
      <c r="H35">
        <v>560.55999999999995</v>
      </c>
      <c r="I35">
        <v>85</v>
      </c>
      <c r="K35">
        <f t="shared" si="9"/>
        <v>475.55999999999995</v>
      </c>
      <c r="L35">
        <f t="shared" si="10"/>
        <v>85</v>
      </c>
      <c r="M35" s="4">
        <f t="shared" si="11"/>
        <v>0.84836591979449116</v>
      </c>
      <c r="N35" s="6">
        <f t="shared" si="12"/>
        <v>118.88999999999999</v>
      </c>
    </row>
    <row r="36" spans="1:14" x14ac:dyDescent="0.2">
      <c r="A36" t="s">
        <v>19</v>
      </c>
      <c r="B36">
        <v>0</v>
      </c>
      <c r="C36" t="s">
        <v>15</v>
      </c>
      <c r="E36" s="3">
        <v>46049</v>
      </c>
      <c r="F36" s="3">
        <v>46053</v>
      </c>
      <c r="G36">
        <v>1</v>
      </c>
      <c r="H36">
        <v>202.44</v>
      </c>
      <c r="I36">
        <v>80</v>
      </c>
      <c r="K36">
        <f t="shared" si="9"/>
        <v>122.44</v>
      </c>
      <c r="L36">
        <f t="shared" si="10"/>
        <v>80</v>
      </c>
      <c r="M36" s="4">
        <f t="shared" si="11"/>
        <v>0.60482118158466702</v>
      </c>
      <c r="N36" s="6">
        <f t="shared" si="12"/>
        <v>122.44</v>
      </c>
    </row>
    <row r="37" spans="1:14" x14ac:dyDescent="0.2">
      <c r="A37" t="s">
        <v>30</v>
      </c>
      <c r="B37">
        <v>0</v>
      </c>
      <c r="C37" t="s">
        <v>15</v>
      </c>
      <c r="E37" s="3">
        <v>46044</v>
      </c>
      <c r="F37" s="3">
        <v>46058</v>
      </c>
      <c r="G37">
        <v>1</v>
      </c>
      <c r="H37">
        <v>202.44</v>
      </c>
      <c r="I37">
        <v>80</v>
      </c>
      <c r="K37">
        <f t="shared" si="9"/>
        <v>122.44</v>
      </c>
      <c r="L37">
        <f t="shared" si="10"/>
        <v>80</v>
      </c>
      <c r="M37" s="4">
        <f t="shared" si="11"/>
        <v>0.60482118158466702</v>
      </c>
      <c r="N37" s="6">
        <f t="shared" si="12"/>
        <v>122.44</v>
      </c>
    </row>
    <row r="38" spans="1:14" x14ac:dyDescent="0.2">
      <c r="A38" t="s">
        <v>29</v>
      </c>
      <c r="B38">
        <v>0</v>
      </c>
      <c r="C38" t="s">
        <v>15</v>
      </c>
      <c r="E38" s="3">
        <v>46033</v>
      </c>
      <c r="F38" s="3">
        <v>46067</v>
      </c>
      <c r="G38">
        <v>1</v>
      </c>
      <c r="H38">
        <v>202.44</v>
      </c>
      <c r="I38">
        <v>80</v>
      </c>
      <c r="K38">
        <f t="shared" si="9"/>
        <v>122.44</v>
      </c>
      <c r="L38">
        <f t="shared" si="10"/>
        <v>80</v>
      </c>
      <c r="M38" s="4">
        <f t="shared" si="11"/>
        <v>0.60482118158466702</v>
      </c>
      <c r="N38" s="6">
        <f t="shared" si="12"/>
        <v>122.44</v>
      </c>
    </row>
    <row r="39" spans="1:14" x14ac:dyDescent="0.2">
      <c r="A39" t="s">
        <v>31</v>
      </c>
      <c r="B39">
        <v>0</v>
      </c>
      <c r="C39" t="s">
        <v>15</v>
      </c>
      <c r="E39" s="3">
        <v>46079</v>
      </c>
      <c r="F39" s="3">
        <v>46081</v>
      </c>
      <c r="G39">
        <v>1</v>
      </c>
      <c r="H39">
        <v>202.44</v>
      </c>
      <c r="I39">
        <v>80</v>
      </c>
      <c r="K39">
        <f t="shared" si="9"/>
        <v>122.44</v>
      </c>
      <c r="L39">
        <f t="shared" si="10"/>
        <v>80</v>
      </c>
      <c r="M39" s="4">
        <f t="shared" si="11"/>
        <v>0.60482118158466702</v>
      </c>
      <c r="N39" s="6">
        <f t="shared" si="12"/>
        <v>122.44</v>
      </c>
    </row>
    <row r="40" spans="1:14" x14ac:dyDescent="0.2">
      <c r="A40" t="s">
        <v>58</v>
      </c>
      <c r="B40">
        <v>4</v>
      </c>
      <c r="C40" t="s">
        <v>15</v>
      </c>
      <c r="E40" s="3">
        <v>46049</v>
      </c>
      <c r="F40" s="3">
        <v>46244</v>
      </c>
      <c r="G40">
        <v>3</v>
      </c>
      <c r="H40">
        <v>573.58000000000004</v>
      </c>
      <c r="I40">
        <v>85</v>
      </c>
      <c r="J40">
        <f>(H40-I40)*24%</f>
        <v>117.25920000000001</v>
      </c>
      <c r="K40">
        <f t="shared" si="9"/>
        <v>371.32080000000002</v>
      </c>
      <c r="L40">
        <f t="shared" si="10"/>
        <v>202.25920000000002</v>
      </c>
      <c r="M40" s="4">
        <f t="shared" si="11"/>
        <v>0.64737403675163008</v>
      </c>
      <c r="N40" s="6">
        <f t="shared" si="12"/>
        <v>123.7736</v>
      </c>
    </row>
    <row r="41" spans="1:14" x14ac:dyDescent="0.2">
      <c r="A41" t="s">
        <v>36</v>
      </c>
      <c r="B41">
        <v>0</v>
      </c>
      <c r="C41" t="s">
        <v>15</v>
      </c>
      <c r="E41" s="3">
        <v>46122</v>
      </c>
      <c r="F41" s="3">
        <v>46125</v>
      </c>
      <c r="G41">
        <v>4</v>
      </c>
      <c r="H41">
        <v>732.64</v>
      </c>
      <c r="I41">
        <v>80</v>
      </c>
      <c r="K41">
        <f t="shared" si="9"/>
        <v>652.64</v>
      </c>
      <c r="L41">
        <f t="shared" si="10"/>
        <v>80</v>
      </c>
      <c r="M41" s="4">
        <f t="shared" si="11"/>
        <v>0.89080585280628954</v>
      </c>
      <c r="N41" s="6">
        <f t="shared" si="12"/>
        <v>163.16</v>
      </c>
    </row>
    <row r="42" spans="1:14" x14ac:dyDescent="0.2">
      <c r="A42" t="s">
        <v>36</v>
      </c>
      <c r="B42">
        <v>0</v>
      </c>
      <c r="C42" t="s">
        <v>15</v>
      </c>
      <c r="E42" s="3">
        <v>46126</v>
      </c>
      <c r="F42" s="3">
        <v>46132</v>
      </c>
      <c r="G42">
        <v>4</v>
      </c>
      <c r="H42">
        <v>732.64</v>
      </c>
      <c r="I42">
        <v>80</v>
      </c>
      <c r="K42">
        <f t="shared" si="9"/>
        <v>652.64</v>
      </c>
      <c r="L42">
        <f t="shared" si="10"/>
        <v>80</v>
      </c>
      <c r="M42" s="4">
        <f t="shared" si="11"/>
        <v>0.89080585280628954</v>
      </c>
      <c r="N42" s="6">
        <f t="shared" si="12"/>
        <v>163.16</v>
      </c>
    </row>
    <row r="43" spans="1:14" x14ac:dyDescent="0.2">
      <c r="A43" t="s">
        <v>36</v>
      </c>
      <c r="B43">
        <v>0</v>
      </c>
      <c r="C43" t="s">
        <v>15</v>
      </c>
      <c r="E43" s="3">
        <v>46113</v>
      </c>
      <c r="F43" s="3">
        <v>46119</v>
      </c>
      <c r="G43">
        <v>3</v>
      </c>
      <c r="H43">
        <v>694.08</v>
      </c>
      <c r="I43">
        <v>80</v>
      </c>
      <c r="K43">
        <f t="shared" si="9"/>
        <v>614.08000000000004</v>
      </c>
      <c r="L43">
        <f t="shared" si="10"/>
        <v>80</v>
      </c>
      <c r="M43" s="4">
        <f t="shared" si="11"/>
        <v>0.88473951129552786</v>
      </c>
      <c r="N43" s="6">
        <f t="shared" si="12"/>
        <v>204.69333333333336</v>
      </c>
    </row>
    <row r="44" spans="1:14" x14ac:dyDescent="0.2">
      <c r="A44" t="s">
        <v>38</v>
      </c>
      <c r="B44">
        <v>0</v>
      </c>
      <c r="C44" t="s">
        <v>15</v>
      </c>
      <c r="E44" s="3">
        <v>46067</v>
      </c>
      <c r="F44" s="3">
        <v>46230</v>
      </c>
      <c r="G44">
        <v>8</v>
      </c>
      <c r="H44">
        <v>2024.88</v>
      </c>
      <c r="I44">
        <v>120</v>
      </c>
      <c r="K44">
        <f t="shared" si="9"/>
        <v>1904.88</v>
      </c>
      <c r="L44">
        <f t="shared" si="10"/>
        <v>120</v>
      </c>
      <c r="M44" s="4">
        <f t="shared" si="11"/>
        <v>0.94073722887282207</v>
      </c>
      <c r="N44" s="6">
        <f t="shared" si="12"/>
        <v>238.11</v>
      </c>
    </row>
    <row r="45" spans="1:14" x14ac:dyDescent="0.2">
      <c r="A45" t="s">
        <v>48</v>
      </c>
      <c r="B45">
        <v>0</v>
      </c>
      <c r="C45" t="s">
        <v>46</v>
      </c>
      <c r="E45" s="3">
        <v>46096</v>
      </c>
      <c r="F45" s="3">
        <v>46150</v>
      </c>
      <c r="G45">
        <v>2</v>
      </c>
      <c r="H45">
        <v>616.96</v>
      </c>
      <c r="I45">
        <v>120</v>
      </c>
      <c r="K45">
        <f t="shared" si="9"/>
        <v>496.96000000000004</v>
      </c>
      <c r="L45">
        <f t="shared" si="10"/>
        <v>120</v>
      </c>
      <c r="M45" s="4">
        <f t="shared" si="11"/>
        <v>0.80549792531120334</v>
      </c>
      <c r="N45" s="6">
        <f t="shared" si="12"/>
        <v>248.48000000000002</v>
      </c>
    </row>
    <row r="46" spans="1:14" x14ac:dyDescent="0.2">
      <c r="A46" t="s">
        <v>55</v>
      </c>
      <c r="B46">
        <v>0</v>
      </c>
      <c r="C46" t="s">
        <v>15</v>
      </c>
      <c r="E46" s="3">
        <v>46021</v>
      </c>
      <c r="F46" s="3">
        <v>46206</v>
      </c>
      <c r="G46">
        <v>2</v>
      </c>
      <c r="H46">
        <v>616.96</v>
      </c>
      <c r="I46">
        <v>120</v>
      </c>
      <c r="K46">
        <f t="shared" si="9"/>
        <v>496.96000000000004</v>
      </c>
      <c r="L46">
        <f t="shared" si="10"/>
        <v>120</v>
      </c>
      <c r="M46" s="4">
        <f t="shared" si="11"/>
        <v>0.80549792531120334</v>
      </c>
      <c r="N46" s="6">
        <f t="shared" si="12"/>
        <v>248.48000000000002</v>
      </c>
    </row>
    <row r="47" spans="1:14" x14ac:dyDescent="0.2">
      <c r="A47" t="s">
        <v>59</v>
      </c>
      <c r="B47">
        <v>0</v>
      </c>
      <c r="C47" t="s">
        <v>15</v>
      </c>
      <c r="E47" s="3">
        <v>46070</v>
      </c>
      <c r="F47" s="3">
        <v>46242</v>
      </c>
      <c r="G47">
        <v>7</v>
      </c>
      <c r="H47">
        <v>1893.77</v>
      </c>
      <c r="I47">
        <v>120</v>
      </c>
      <c r="K47">
        <f t="shared" si="9"/>
        <v>1773.77</v>
      </c>
      <c r="L47">
        <f t="shared" si="10"/>
        <v>120</v>
      </c>
      <c r="M47" s="4">
        <f t="shared" si="11"/>
        <v>0.93663433257470552</v>
      </c>
      <c r="N47" s="6">
        <f t="shared" si="12"/>
        <v>253.39571428571429</v>
      </c>
    </row>
    <row r="48" spans="1:14" x14ac:dyDescent="0.2">
      <c r="A48" t="s">
        <v>42</v>
      </c>
      <c r="B48">
        <v>0</v>
      </c>
      <c r="C48" t="s">
        <v>15</v>
      </c>
      <c r="E48" s="3">
        <v>46092</v>
      </c>
      <c r="F48" s="3">
        <v>46116</v>
      </c>
      <c r="G48">
        <v>2</v>
      </c>
      <c r="H48">
        <v>621.78</v>
      </c>
      <c r="I48">
        <v>85</v>
      </c>
      <c r="K48">
        <f t="shared" si="9"/>
        <v>536.78</v>
      </c>
      <c r="L48">
        <f t="shared" si="10"/>
        <v>85</v>
      </c>
      <c r="M48" s="4">
        <f t="shared" si="11"/>
        <v>0.86329569944353313</v>
      </c>
      <c r="N48" s="6">
        <f t="shared" si="12"/>
        <v>268.39</v>
      </c>
    </row>
    <row r="49" spans="1:14" x14ac:dyDescent="0.2">
      <c r="A49" t="s">
        <v>44</v>
      </c>
      <c r="B49">
        <v>0</v>
      </c>
      <c r="C49" t="s">
        <v>28</v>
      </c>
      <c r="E49" s="3">
        <v>46027</v>
      </c>
      <c r="F49" s="3">
        <v>46143</v>
      </c>
      <c r="G49">
        <v>2</v>
      </c>
      <c r="H49">
        <v>706.4</v>
      </c>
      <c r="I49">
        <v>120</v>
      </c>
      <c r="K49">
        <f t="shared" si="9"/>
        <v>586.4</v>
      </c>
      <c r="L49">
        <f t="shared" si="10"/>
        <v>120</v>
      </c>
      <c r="M49" s="4">
        <f t="shared" si="11"/>
        <v>0.83012457531143824</v>
      </c>
      <c r="N49" s="6">
        <f t="shared" si="12"/>
        <v>293.2</v>
      </c>
    </row>
    <row r="50" spans="1:14" x14ac:dyDescent="0.2">
      <c r="A50" t="s">
        <v>45</v>
      </c>
      <c r="B50">
        <v>0</v>
      </c>
      <c r="C50" t="s">
        <v>46</v>
      </c>
      <c r="E50" s="3">
        <v>46068</v>
      </c>
      <c r="F50" s="3">
        <v>46165</v>
      </c>
      <c r="G50">
        <v>2</v>
      </c>
      <c r="H50">
        <v>667.4</v>
      </c>
      <c r="I50">
        <v>80</v>
      </c>
      <c r="K50">
        <f t="shared" si="9"/>
        <v>587.4</v>
      </c>
      <c r="L50">
        <f t="shared" si="10"/>
        <v>80</v>
      </c>
      <c r="M50" s="4">
        <f t="shared" si="11"/>
        <v>0.88013185495954449</v>
      </c>
      <c r="N50" s="6">
        <f t="shared" si="12"/>
        <v>293.7</v>
      </c>
    </row>
    <row r="51" spans="1:14" x14ac:dyDescent="0.2">
      <c r="A51" t="s">
        <v>47</v>
      </c>
      <c r="B51">
        <v>0</v>
      </c>
      <c r="C51" t="s">
        <v>46</v>
      </c>
      <c r="E51" s="3">
        <v>46068</v>
      </c>
      <c r="F51" s="3">
        <v>46155</v>
      </c>
      <c r="G51">
        <v>4</v>
      </c>
      <c r="H51">
        <v>1292.8</v>
      </c>
      <c r="I51">
        <v>80</v>
      </c>
      <c r="K51">
        <f t="shared" si="9"/>
        <v>1212.8</v>
      </c>
      <c r="L51">
        <f t="shared" si="10"/>
        <v>80</v>
      </c>
      <c r="M51" s="4">
        <f t="shared" si="11"/>
        <v>0.93811881188118806</v>
      </c>
      <c r="N51" s="6">
        <f t="shared" si="12"/>
        <v>303.2</v>
      </c>
    </row>
    <row r="52" spans="1:14" x14ac:dyDescent="0.2">
      <c r="A52" t="s">
        <v>70</v>
      </c>
      <c r="B52">
        <v>2</v>
      </c>
      <c r="C52" t="s">
        <v>15</v>
      </c>
      <c r="E52" s="3">
        <v>46134</v>
      </c>
      <c r="F52" s="3">
        <v>46237</v>
      </c>
      <c r="G52">
        <v>3</v>
      </c>
      <c r="H52">
        <v>621.07000000000005</v>
      </c>
      <c r="I52">
        <v>105</v>
      </c>
      <c r="J52">
        <f>(H52-I52)*24%</f>
        <v>123.85680000000001</v>
      </c>
      <c r="K52">
        <f t="shared" si="9"/>
        <v>392.21320000000003</v>
      </c>
      <c r="L52">
        <f t="shared" si="10"/>
        <v>228.85680000000002</v>
      </c>
      <c r="M52" s="4">
        <f t="shared" si="11"/>
        <v>0.63151206788284731</v>
      </c>
      <c r="N52" s="6">
        <f t="shared" si="12"/>
        <v>130.73773333333335</v>
      </c>
    </row>
    <row r="53" spans="1:14" x14ac:dyDescent="0.2">
      <c r="A53" t="s">
        <v>71</v>
      </c>
      <c r="B53">
        <v>4</v>
      </c>
      <c r="C53" t="s">
        <v>15</v>
      </c>
      <c r="E53" s="3">
        <v>46132</v>
      </c>
      <c r="F53" s="3">
        <v>46133</v>
      </c>
      <c r="G53">
        <v>3</v>
      </c>
      <c r="H53">
        <v>332.58</v>
      </c>
      <c r="I53">
        <v>105</v>
      </c>
      <c r="J53">
        <f t="shared" ref="J53:J57" si="13">(H53-I53)*24%</f>
        <v>54.619199999999992</v>
      </c>
      <c r="K53">
        <f t="shared" ref="K53:K57" si="14">H53-I53-J53</f>
        <v>172.96080000000001</v>
      </c>
      <c r="L53">
        <f t="shared" ref="L53:L57" si="15">SUM(I53:J53)</f>
        <v>159.61919999999998</v>
      </c>
      <c r="M53" s="4">
        <f t="shared" ref="M53:M57" si="16">(H53-L53)/H53</f>
        <v>0.52005773047086423</v>
      </c>
      <c r="N53" s="6">
        <f t="shared" ref="N53:N57" si="17">K53/G53</f>
        <v>57.653600000000004</v>
      </c>
    </row>
    <row r="54" spans="1:14" x14ac:dyDescent="0.2">
      <c r="A54" t="s">
        <v>72</v>
      </c>
      <c r="B54">
        <v>2</v>
      </c>
      <c r="C54" t="s">
        <v>15</v>
      </c>
      <c r="E54" s="3">
        <v>46131</v>
      </c>
      <c r="F54" s="3">
        <v>46134</v>
      </c>
      <c r="G54">
        <v>2</v>
      </c>
      <c r="H54">
        <v>283.07</v>
      </c>
      <c r="I54">
        <v>105</v>
      </c>
      <c r="J54">
        <f t="shared" ref="J54" si="18">(H54-I54)*24%</f>
        <v>42.736799999999995</v>
      </c>
      <c r="K54">
        <f t="shared" ref="K54" si="19">H54-I54-J54</f>
        <v>135.33320000000001</v>
      </c>
      <c r="L54">
        <f t="shared" ref="L54" si="20">SUM(I54:J54)</f>
        <v>147.73679999999999</v>
      </c>
      <c r="M54" s="4">
        <f t="shared" ref="M54" si="21">(H54-L54)/H54</f>
        <v>0.47809093157169608</v>
      </c>
      <c r="N54" s="6">
        <f t="shared" ref="N54" si="22">K54/G54</f>
        <v>67.666600000000003</v>
      </c>
    </row>
    <row r="55" spans="1:14" x14ac:dyDescent="0.2">
      <c r="A55" t="s">
        <v>73</v>
      </c>
      <c r="B55">
        <v>0</v>
      </c>
      <c r="C55" t="s">
        <v>15</v>
      </c>
      <c r="E55" s="3">
        <v>46128</v>
      </c>
      <c r="F55" s="3">
        <v>46214</v>
      </c>
      <c r="G55">
        <v>7</v>
      </c>
      <c r="H55">
        <v>1512.52</v>
      </c>
      <c r="I55">
        <v>120</v>
      </c>
      <c r="K55">
        <f t="shared" ref="K55:K57" si="23">H55-I55-J55</f>
        <v>1392.52</v>
      </c>
      <c r="L55">
        <f t="shared" ref="L55:L57" si="24">SUM(I55:J55)</f>
        <v>120</v>
      </c>
      <c r="M55" s="4">
        <f t="shared" ref="M55:M57" si="25">(H55-L55)/H55</f>
        <v>0.92066220611958849</v>
      </c>
      <c r="N55" s="6">
        <f t="shared" ref="N55:N57" si="26">K55/G55</f>
        <v>198.93142857142857</v>
      </c>
    </row>
    <row r="56" spans="1:14" x14ac:dyDescent="0.2">
      <c r="A56" t="s">
        <v>74</v>
      </c>
      <c r="B56">
        <v>0</v>
      </c>
      <c r="C56" t="s">
        <v>46</v>
      </c>
      <c r="E56" s="3">
        <v>46132</v>
      </c>
      <c r="F56" s="3">
        <v>46223</v>
      </c>
      <c r="G56">
        <v>6</v>
      </c>
      <c r="H56">
        <v>1672.8</v>
      </c>
      <c r="I56">
        <v>120</v>
      </c>
      <c r="K56">
        <f t="shared" si="23"/>
        <v>1552.8</v>
      </c>
      <c r="L56">
        <f t="shared" si="24"/>
        <v>120</v>
      </c>
      <c r="M56" s="4">
        <f t="shared" si="25"/>
        <v>0.92826398852223813</v>
      </c>
      <c r="N56" s="6">
        <f t="shared" si="26"/>
        <v>258.8</v>
      </c>
    </row>
    <row r="57" spans="1:14" x14ac:dyDescent="0.2">
      <c r="A57" t="s">
        <v>36</v>
      </c>
      <c r="B57">
        <v>0</v>
      </c>
      <c r="C57" t="s">
        <v>15</v>
      </c>
      <c r="E57" s="3">
        <v>46134</v>
      </c>
      <c r="F57" s="3">
        <v>46139</v>
      </c>
      <c r="G57">
        <v>3</v>
      </c>
      <c r="H57">
        <v>665.16</v>
      </c>
      <c r="I57">
        <v>80</v>
      </c>
      <c r="K57">
        <f t="shared" si="23"/>
        <v>585.16</v>
      </c>
      <c r="L57">
        <f t="shared" si="24"/>
        <v>80</v>
      </c>
      <c r="M57" s="4">
        <f t="shared" si="25"/>
        <v>0.87972818569968125</v>
      </c>
      <c r="N57" s="6">
        <f t="shared" si="26"/>
        <v>195.05333333333331</v>
      </c>
    </row>
  </sheetData>
  <autoFilter ref="A1:K57" xr:uid="{A29357F3-E3E1-AE42-9916-6DB3D440C4D7}"/>
  <sortState xmlns:xlrd2="http://schemas.microsoft.com/office/spreadsheetml/2017/richdata2" ref="A4:N54">
    <sortCondition ref="N4:N54"/>
  </sortState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23A3CD8-90B2-1146-BC73-E5030DC9FBC3}">
          <x14:formula1>
            <xm:f>Lookups!$B$11:$B$15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A2E5-9CFF-D74D-9A28-35A119E411A2}">
  <sheetPr codeName="Sheet6"/>
  <dimension ref="A1:O10"/>
  <sheetViews>
    <sheetView zoomScale="120" zoomScaleNormal="120" workbookViewId="0">
      <selection activeCell="L19" sqref="L19"/>
    </sheetView>
  </sheetViews>
  <sheetFormatPr baseColWidth="10" defaultRowHeight="16" x14ac:dyDescent="0.2"/>
  <cols>
    <col min="1" max="1" width="19.5" customWidth="1"/>
    <col min="3" max="3" width="16.83203125" customWidth="1"/>
  </cols>
  <sheetData>
    <row r="1" spans="1:15" x14ac:dyDescent="0.2">
      <c r="A1" s="2" t="s">
        <v>75</v>
      </c>
      <c r="B1" s="2" t="s">
        <v>4</v>
      </c>
      <c r="C1" s="2" t="s">
        <v>76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2" t="s">
        <v>91</v>
      </c>
      <c r="K1" s="2" t="s">
        <v>92</v>
      </c>
      <c r="L1" s="2" t="s">
        <v>93</v>
      </c>
      <c r="M1" s="2" t="s">
        <v>94</v>
      </c>
      <c r="N1" s="2" t="s">
        <v>95</v>
      </c>
      <c r="O1" s="2" t="s">
        <v>96</v>
      </c>
    </row>
    <row r="2" spans="1:15" x14ac:dyDescent="0.2">
      <c r="A2" t="s">
        <v>98</v>
      </c>
      <c r="B2">
        <v>2</v>
      </c>
      <c r="C2" s="11" t="s">
        <v>121</v>
      </c>
      <c r="D2">
        <v>150</v>
      </c>
      <c r="E2">
        <v>150</v>
      </c>
      <c r="F2">
        <v>150</v>
      </c>
      <c r="G2">
        <v>150</v>
      </c>
      <c r="H2">
        <v>80</v>
      </c>
      <c r="I2">
        <v>40</v>
      </c>
      <c r="J2">
        <v>40</v>
      </c>
      <c r="K2">
        <v>40</v>
      </c>
      <c r="L2">
        <v>40</v>
      </c>
      <c r="M2">
        <v>80</v>
      </c>
      <c r="N2">
        <v>150</v>
      </c>
      <c r="O2">
        <v>150</v>
      </c>
    </row>
    <row r="3" spans="1:15" x14ac:dyDescent="0.2">
      <c r="A3" t="s">
        <v>98</v>
      </c>
      <c r="B3">
        <v>2</v>
      </c>
      <c r="C3" s="11" t="s">
        <v>122</v>
      </c>
      <c r="D3">
        <v>123</v>
      </c>
      <c r="E3">
        <v>150</v>
      </c>
    </row>
    <row r="4" spans="1:15" x14ac:dyDescent="0.2">
      <c r="A4" t="s">
        <v>98</v>
      </c>
      <c r="B4">
        <v>4</v>
      </c>
      <c r="C4" s="11" t="s">
        <v>121</v>
      </c>
      <c r="D4">
        <v>150</v>
      </c>
      <c r="E4">
        <v>150</v>
      </c>
      <c r="F4">
        <v>150</v>
      </c>
      <c r="G4">
        <v>150</v>
      </c>
      <c r="H4">
        <v>80</v>
      </c>
      <c r="I4">
        <v>40</v>
      </c>
      <c r="J4">
        <v>40</v>
      </c>
      <c r="K4">
        <v>40</v>
      </c>
      <c r="L4">
        <v>40</v>
      </c>
      <c r="M4">
        <v>80</v>
      </c>
      <c r="N4">
        <v>150</v>
      </c>
      <c r="O4">
        <v>150</v>
      </c>
    </row>
    <row r="5" spans="1:15" x14ac:dyDescent="0.2">
      <c r="A5" t="s">
        <v>98</v>
      </c>
      <c r="B5">
        <v>5</v>
      </c>
      <c r="C5" s="11" t="s">
        <v>121</v>
      </c>
      <c r="D5">
        <v>150</v>
      </c>
      <c r="E5">
        <v>150</v>
      </c>
      <c r="F5">
        <v>150</v>
      </c>
      <c r="G5">
        <v>150</v>
      </c>
      <c r="H5">
        <v>80</v>
      </c>
      <c r="I5">
        <v>40</v>
      </c>
      <c r="J5">
        <v>40</v>
      </c>
      <c r="K5">
        <v>40</v>
      </c>
      <c r="L5">
        <v>40</v>
      </c>
      <c r="M5">
        <v>80</v>
      </c>
      <c r="N5">
        <v>150</v>
      </c>
      <c r="O5">
        <v>150</v>
      </c>
    </row>
    <row r="6" spans="1:15" x14ac:dyDescent="0.2">
      <c r="A6" t="s">
        <v>98</v>
      </c>
      <c r="B6">
        <v>6</v>
      </c>
      <c r="C6" s="11" t="s">
        <v>121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">
      <c r="A7" t="s">
        <v>98</v>
      </c>
      <c r="B7">
        <v>0</v>
      </c>
      <c r="C7" s="11" t="s">
        <v>121</v>
      </c>
      <c r="D7">
        <v>150</v>
      </c>
      <c r="E7">
        <v>150</v>
      </c>
      <c r="F7">
        <v>150</v>
      </c>
      <c r="G7">
        <v>150</v>
      </c>
      <c r="H7">
        <v>150</v>
      </c>
      <c r="I7">
        <v>80</v>
      </c>
      <c r="J7">
        <v>80</v>
      </c>
      <c r="K7">
        <v>80</v>
      </c>
      <c r="L7">
        <v>80</v>
      </c>
      <c r="M7">
        <v>80</v>
      </c>
      <c r="N7">
        <v>150</v>
      </c>
      <c r="O7">
        <v>150</v>
      </c>
    </row>
    <row r="8" spans="1:15" x14ac:dyDescent="0.2">
      <c r="A8" t="s">
        <v>98</v>
      </c>
      <c r="B8">
        <v>8</v>
      </c>
      <c r="C8" s="11" t="s">
        <v>121</v>
      </c>
      <c r="D8">
        <v>80</v>
      </c>
      <c r="E8">
        <v>50</v>
      </c>
      <c r="F8">
        <v>50</v>
      </c>
      <c r="G8">
        <v>50</v>
      </c>
      <c r="H8">
        <v>50</v>
      </c>
      <c r="I8">
        <v>30</v>
      </c>
      <c r="J8">
        <v>30</v>
      </c>
      <c r="K8">
        <v>30</v>
      </c>
      <c r="L8">
        <v>30</v>
      </c>
      <c r="M8">
        <v>50</v>
      </c>
      <c r="N8">
        <v>50</v>
      </c>
      <c r="O8">
        <v>80</v>
      </c>
    </row>
    <row r="9" spans="1:15" x14ac:dyDescent="0.2">
      <c r="A9" t="s">
        <v>98</v>
      </c>
      <c r="B9">
        <v>7</v>
      </c>
      <c r="C9" s="11" t="s">
        <v>121</v>
      </c>
      <c r="D9">
        <v>30</v>
      </c>
      <c r="E9">
        <v>30</v>
      </c>
      <c r="F9">
        <v>30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  <c r="N9">
        <v>30</v>
      </c>
      <c r="O9">
        <v>30</v>
      </c>
    </row>
    <row r="10" spans="1:15" x14ac:dyDescent="0.2">
      <c r="A10" t="s">
        <v>103</v>
      </c>
      <c r="B10">
        <v>0</v>
      </c>
      <c r="C10" s="11" t="s">
        <v>121</v>
      </c>
      <c r="D10">
        <v>200</v>
      </c>
      <c r="E10">
        <v>200</v>
      </c>
      <c r="F10">
        <v>200</v>
      </c>
      <c r="G10">
        <v>200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200</v>
      </c>
      <c r="O10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E4BD-F5FF-4343-870A-896E8E30F7A1}">
  <sheetPr codeName="Sheet4"/>
  <dimension ref="A1:N47"/>
  <sheetViews>
    <sheetView zoomScale="120" zoomScaleNormal="120" workbookViewId="0">
      <selection activeCell="B22" sqref="B22"/>
    </sheetView>
  </sheetViews>
  <sheetFormatPr baseColWidth="10" defaultRowHeight="16" x14ac:dyDescent="0.2"/>
  <cols>
    <col min="1" max="1" width="19.5" customWidth="1"/>
  </cols>
  <sheetData>
    <row r="1" spans="1:14" x14ac:dyDescent="0.2">
      <c r="A1" s="2" t="s">
        <v>75</v>
      </c>
      <c r="B1" s="2" t="s">
        <v>4</v>
      </c>
      <c r="C1" s="2" t="s">
        <v>85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</row>
    <row r="2" spans="1:14" x14ac:dyDescent="0.2">
      <c r="A2" t="s">
        <v>97</v>
      </c>
      <c r="B2" s="11">
        <v>0</v>
      </c>
      <c r="C2" s="11">
        <v>500</v>
      </c>
      <c r="D2" s="11">
        <v>500</v>
      </c>
      <c r="E2" s="11">
        <v>500</v>
      </c>
      <c r="F2" s="11">
        <v>500</v>
      </c>
      <c r="G2" s="11">
        <v>500</v>
      </c>
      <c r="H2" s="11">
        <v>500</v>
      </c>
      <c r="I2" s="11">
        <v>500</v>
      </c>
      <c r="J2" s="11">
        <v>500</v>
      </c>
      <c r="K2" s="11">
        <v>500</v>
      </c>
      <c r="L2" s="11">
        <v>500</v>
      </c>
      <c r="M2" s="11">
        <v>500</v>
      </c>
      <c r="N2" s="11">
        <v>500</v>
      </c>
    </row>
    <row r="3" spans="1:14" x14ac:dyDescent="0.2">
      <c r="A3" t="s">
        <v>97</v>
      </c>
      <c r="B3" s="11">
        <v>8</v>
      </c>
      <c r="C3" s="11">
        <v>158</v>
      </c>
      <c r="D3" s="11">
        <v>158</v>
      </c>
      <c r="E3" s="11">
        <v>158</v>
      </c>
      <c r="F3" s="11">
        <v>158</v>
      </c>
      <c r="G3" s="11">
        <v>158</v>
      </c>
      <c r="H3" s="11">
        <v>158</v>
      </c>
      <c r="I3" s="11">
        <v>158</v>
      </c>
      <c r="J3" s="11">
        <v>158</v>
      </c>
      <c r="K3" s="11">
        <v>158</v>
      </c>
      <c r="L3" s="11">
        <v>158</v>
      </c>
      <c r="M3" s="11">
        <v>158</v>
      </c>
      <c r="N3" s="11">
        <v>158</v>
      </c>
    </row>
    <row r="4" spans="1:14" x14ac:dyDescent="0.2">
      <c r="A4" t="s">
        <v>97</v>
      </c>
      <c r="B4">
        <v>2</v>
      </c>
      <c r="C4" s="10">
        <f>1250*Lookups!F25</f>
        <v>350.2155172413793</v>
      </c>
      <c r="D4" s="10">
        <f>C4</f>
        <v>350.2155172413793</v>
      </c>
      <c r="E4" s="10">
        <f t="shared" ref="E4:N4" si="0">D4</f>
        <v>350.2155172413793</v>
      </c>
      <c r="F4" s="10">
        <f t="shared" si="0"/>
        <v>350.2155172413793</v>
      </c>
      <c r="G4" s="10">
        <f t="shared" si="0"/>
        <v>350.2155172413793</v>
      </c>
      <c r="H4" s="10">
        <f t="shared" si="0"/>
        <v>350.2155172413793</v>
      </c>
      <c r="I4" s="10">
        <f t="shared" si="0"/>
        <v>350.2155172413793</v>
      </c>
      <c r="J4" s="10">
        <f t="shared" si="0"/>
        <v>350.2155172413793</v>
      </c>
      <c r="K4" s="10">
        <f t="shared" si="0"/>
        <v>350.2155172413793</v>
      </c>
      <c r="L4" s="10">
        <f t="shared" si="0"/>
        <v>350.2155172413793</v>
      </c>
      <c r="M4" s="10">
        <f t="shared" si="0"/>
        <v>350.2155172413793</v>
      </c>
      <c r="N4" s="10">
        <f t="shared" si="0"/>
        <v>350.2155172413793</v>
      </c>
    </row>
    <row r="5" spans="1:14" x14ac:dyDescent="0.2">
      <c r="A5" t="s">
        <v>97</v>
      </c>
      <c r="B5">
        <v>4</v>
      </c>
      <c r="C5" s="10">
        <f>1250*Lookups!F26</f>
        <v>226.29310344827587</v>
      </c>
      <c r="D5" s="10">
        <f t="shared" ref="D5:N8" si="1">C5</f>
        <v>226.29310344827587</v>
      </c>
      <c r="E5" s="10">
        <f t="shared" si="1"/>
        <v>226.29310344827587</v>
      </c>
      <c r="F5" s="10">
        <f t="shared" si="1"/>
        <v>226.29310344827587</v>
      </c>
      <c r="G5" s="10">
        <f t="shared" si="1"/>
        <v>226.29310344827587</v>
      </c>
      <c r="H5" s="10">
        <f t="shared" si="1"/>
        <v>226.29310344827587</v>
      </c>
      <c r="I5" s="10">
        <f t="shared" si="1"/>
        <v>226.29310344827587</v>
      </c>
      <c r="J5" s="10">
        <f t="shared" si="1"/>
        <v>226.29310344827587</v>
      </c>
      <c r="K5" s="10">
        <f t="shared" si="1"/>
        <v>226.29310344827587</v>
      </c>
      <c r="L5" s="10">
        <f t="shared" si="1"/>
        <v>226.29310344827587</v>
      </c>
      <c r="M5" s="10">
        <f t="shared" si="1"/>
        <v>226.29310344827587</v>
      </c>
      <c r="N5" s="10">
        <f t="shared" si="1"/>
        <v>226.29310344827587</v>
      </c>
    </row>
    <row r="6" spans="1:14" x14ac:dyDescent="0.2">
      <c r="A6" t="s">
        <v>97</v>
      </c>
      <c r="B6">
        <v>5</v>
      </c>
      <c r="C6" s="10">
        <f>1250*Lookups!F27</f>
        <v>145.47413793103448</v>
      </c>
      <c r="D6" s="10">
        <f t="shared" si="1"/>
        <v>145.47413793103448</v>
      </c>
      <c r="E6" s="10">
        <f t="shared" si="1"/>
        <v>145.47413793103448</v>
      </c>
      <c r="F6" s="10">
        <f t="shared" si="1"/>
        <v>145.47413793103448</v>
      </c>
      <c r="G6" s="10">
        <f t="shared" si="1"/>
        <v>145.47413793103448</v>
      </c>
      <c r="H6" s="10">
        <f t="shared" si="1"/>
        <v>145.47413793103448</v>
      </c>
      <c r="I6" s="10">
        <f t="shared" si="1"/>
        <v>145.47413793103448</v>
      </c>
      <c r="J6" s="10">
        <f t="shared" si="1"/>
        <v>145.47413793103448</v>
      </c>
      <c r="K6" s="10">
        <f t="shared" si="1"/>
        <v>145.47413793103448</v>
      </c>
      <c r="L6" s="10">
        <f t="shared" si="1"/>
        <v>145.47413793103448</v>
      </c>
      <c r="M6" s="10">
        <f t="shared" si="1"/>
        <v>145.47413793103448</v>
      </c>
      <c r="N6" s="10">
        <f t="shared" si="1"/>
        <v>145.47413793103448</v>
      </c>
    </row>
    <row r="7" spans="1:14" x14ac:dyDescent="0.2">
      <c r="A7" t="s">
        <v>97</v>
      </c>
      <c r="B7">
        <v>6</v>
      </c>
      <c r="C7" s="10">
        <f>1250*Lookups!F28</f>
        <v>206.5373563218391</v>
      </c>
      <c r="D7" s="10">
        <f t="shared" si="1"/>
        <v>206.5373563218391</v>
      </c>
      <c r="E7" s="10">
        <f t="shared" si="1"/>
        <v>206.5373563218391</v>
      </c>
      <c r="F7" s="10">
        <f t="shared" si="1"/>
        <v>206.5373563218391</v>
      </c>
      <c r="G7" s="10">
        <f t="shared" si="1"/>
        <v>206.5373563218391</v>
      </c>
      <c r="H7" s="10">
        <f t="shared" si="1"/>
        <v>206.5373563218391</v>
      </c>
      <c r="I7" s="10">
        <f t="shared" si="1"/>
        <v>206.5373563218391</v>
      </c>
      <c r="J7" s="10">
        <f t="shared" si="1"/>
        <v>206.5373563218391</v>
      </c>
      <c r="K7" s="10">
        <f t="shared" si="1"/>
        <v>206.5373563218391</v>
      </c>
      <c r="L7" s="10">
        <f t="shared" si="1"/>
        <v>206.5373563218391</v>
      </c>
      <c r="M7" s="10">
        <f t="shared" si="1"/>
        <v>206.5373563218391</v>
      </c>
      <c r="N7" s="10">
        <f t="shared" si="1"/>
        <v>206.5373563218391</v>
      </c>
    </row>
    <row r="8" spans="1:14" x14ac:dyDescent="0.2">
      <c r="A8" t="s">
        <v>97</v>
      </c>
      <c r="B8">
        <v>7</v>
      </c>
      <c r="C8" s="10">
        <f>1250*Lookups!F29</f>
        <v>321.47988505747128</v>
      </c>
      <c r="D8" s="10">
        <f t="shared" si="1"/>
        <v>321.47988505747128</v>
      </c>
      <c r="E8" s="10">
        <f t="shared" si="1"/>
        <v>321.47988505747128</v>
      </c>
      <c r="F8" s="10">
        <f t="shared" si="1"/>
        <v>321.47988505747128</v>
      </c>
      <c r="G8" s="10">
        <f t="shared" si="1"/>
        <v>321.47988505747128</v>
      </c>
      <c r="H8" s="10">
        <f t="shared" si="1"/>
        <v>321.47988505747128</v>
      </c>
      <c r="I8" s="10">
        <f t="shared" si="1"/>
        <v>321.47988505747128</v>
      </c>
      <c r="J8" s="10">
        <f t="shared" si="1"/>
        <v>321.47988505747128</v>
      </c>
      <c r="K8" s="10">
        <f t="shared" si="1"/>
        <v>321.47988505747128</v>
      </c>
      <c r="L8" s="10">
        <f t="shared" si="1"/>
        <v>321.47988505747128</v>
      </c>
      <c r="M8" s="10">
        <f t="shared" si="1"/>
        <v>321.47988505747128</v>
      </c>
      <c r="N8" s="10">
        <f t="shared" si="1"/>
        <v>321.47988505747128</v>
      </c>
    </row>
    <row r="9" spans="1:14" x14ac:dyDescent="0.2">
      <c r="A9" t="s">
        <v>98</v>
      </c>
      <c r="B9">
        <v>2</v>
      </c>
      <c r="C9">
        <v>150</v>
      </c>
      <c r="D9">
        <v>150</v>
      </c>
      <c r="E9">
        <v>150</v>
      </c>
      <c r="F9">
        <v>150</v>
      </c>
      <c r="G9">
        <v>80</v>
      </c>
      <c r="H9">
        <v>40</v>
      </c>
      <c r="I9">
        <v>40</v>
      </c>
      <c r="J9">
        <v>40</v>
      </c>
      <c r="K9">
        <v>40</v>
      </c>
      <c r="L9">
        <v>80</v>
      </c>
      <c r="M9">
        <v>150</v>
      </c>
      <c r="N9">
        <v>150</v>
      </c>
    </row>
    <row r="10" spans="1:14" x14ac:dyDescent="0.2">
      <c r="A10" t="s">
        <v>98</v>
      </c>
      <c r="B10">
        <v>4</v>
      </c>
      <c r="C10">
        <v>150</v>
      </c>
      <c r="D10">
        <v>150</v>
      </c>
      <c r="E10">
        <v>150</v>
      </c>
      <c r="F10">
        <v>150</v>
      </c>
      <c r="G10">
        <v>80</v>
      </c>
      <c r="H10">
        <v>40</v>
      </c>
      <c r="I10">
        <v>40</v>
      </c>
      <c r="J10">
        <v>40</v>
      </c>
      <c r="K10">
        <v>40</v>
      </c>
      <c r="L10">
        <v>80</v>
      </c>
      <c r="M10">
        <v>150</v>
      </c>
      <c r="N10">
        <v>150</v>
      </c>
    </row>
    <row r="11" spans="1:14" x14ac:dyDescent="0.2">
      <c r="A11" t="s">
        <v>98</v>
      </c>
      <c r="B11">
        <v>5</v>
      </c>
      <c r="C11">
        <v>150</v>
      </c>
      <c r="D11">
        <v>150</v>
      </c>
      <c r="E11">
        <v>150</v>
      </c>
      <c r="F11">
        <v>150</v>
      </c>
      <c r="G11">
        <v>80</v>
      </c>
      <c r="H11">
        <v>40</v>
      </c>
      <c r="I11">
        <v>40</v>
      </c>
      <c r="J11">
        <v>40</v>
      </c>
      <c r="K11">
        <v>40</v>
      </c>
      <c r="L11">
        <v>80</v>
      </c>
      <c r="M11">
        <v>150</v>
      </c>
      <c r="N11">
        <v>150</v>
      </c>
    </row>
    <row r="12" spans="1:14" x14ac:dyDescent="0.2">
      <c r="A12" t="s">
        <v>98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">
      <c r="A13" t="s">
        <v>98</v>
      </c>
      <c r="B13">
        <v>0</v>
      </c>
      <c r="C13">
        <v>150</v>
      </c>
      <c r="D13">
        <v>150</v>
      </c>
      <c r="E13">
        <v>150</v>
      </c>
      <c r="F13">
        <v>150</v>
      </c>
      <c r="G13">
        <v>150</v>
      </c>
      <c r="H13">
        <v>80</v>
      </c>
      <c r="I13">
        <v>80</v>
      </c>
      <c r="J13">
        <v>80</v>
      </c>
      <c r="K13">
        <v>80</v>
      </c>
      <c r="L13">
        <v>80</v>
      </c>
      <c r="M13">
        <v>150</v>
      </c>
      <c r="N13">
        <v>150</v>
      </c>
    </row>
    <row r="14" spans="1:14" x14ac:dyDescent="0.2">
      <c r="A14" t="s">
        <v>98</v>
      </c>
      <c r="B14">
        <v>8</v>
      </c>
      <c r="C14">
        <v>80</v>
      </c>
      <c r="D14">
        <v>50</v>
      </c>
      <c r="E14">
        <v>50</v>
      </c>
      <c r="F14">
        <v>50</v>
      </c>
      <c r="G14">
        <v>50</v>
      </c>
      <c r="H14">
        <v>30</v>
      </c>
      <c r="I14">
        <v>30</v>
      </c>
      <c r="J14">
        <v>30</v>
      </c>
      <c r="K14">
        <v>30</v>
      </c>
      <c r="L14">
        <v>50</v>
      </c>
      <c r="M14">
        <v>50</v>
      </c>
      <c r="N14">
        <v>80</v>
      </c>
    </row>
    <row r="15" spans="1:14" x14ac:dyDescent="0.2">
      <c r="A15" t="s">
        <v>98</v>
      </c>
      <c r="B15">
        <v>7</v>
      </c>
      <c r="C15">
        <v>30</v>
      </c>
      <c r="D15">
        <v>30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>
        <v>30</v>
      </c>
    </row>
    <row r="16" spans="1:14" x14ac:dyDescent="0.2">
      <c r="A16" t="s">
        <v>102</v>
      </c>
      <c r="B16">
        <v>2</v>
      </c>
      <c r="C16">
        <v>93</v>
      </c>
      <c r="D16">
        <v>93</v>
      </c>
      <c r="E16">
        <v>93</v>
      </c>
      <c r="F16">
        <v>93</v>
      </c>
      <c r="G16">
        <v>93</v>
      </c>
      <c r="H16">
        <v>93</v>
      </c>
      <c r="I16">
        <v>93</v>
      </c>
      <c r="J16">
        <v>93</v>
      </c>
      <c r="K16">
        <v>93</v>
      </c>
      <c r="L16">
        <v>93</v>
      </c>
      <c r="M16">
        <v>93</v>
      </c>
      <c r="N16">
        <v>93</v>
      </c>
    </row>
    <row r="17" spans="1:14" x14ac:dyDescent="0.2">
      <c r="A17" t="s">
        <v>102</v>
      </c>
      <c r="B17">
        <v>4</v>
      </c>
      <c r="C17">
        <v>62</v>
      </c>
      <c r="D17">
        <v>62</v>
      </c>
      <c r="E17">
        <v>62</v>
      </c>
      <c r="F17">
        <v>62</v>
      </c>
      <c r="G17">
        <v>62</v>
      </c>
      <c r="H17">
        <v>62</v>
      </c>
      <c r="I17">
        <v>62</v>
      </c>
      <c r="J17">
        <v>62</v>
      </c>
      <c r="K17">
        <v>62</v>
      </c>
      <c r="L17">
        <v>62</v>
      </c>
      <c r="M17">
        <v>62</v>
      </c>
      <c r="N17">
        <v>62</v>
      </c>
    </row>
    <row r="18" spans="1:14" x14ac:dyDescent="0.2">
      <c r="A18" t="s">
        <v>102</v>
      </c>
      <c r="B18">
        <v>5</v>
      </c>
      <c r="C18">
        <v>40</v>
      </c>
      <c r="D18">
        <v>40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40</v>
      </c>
      <c r="K18">
        <v>40</v>
      </c>
      <c r="L18">
        <v>40</v>
      </c>
      <c r="M18">
        <v>40</v>
      </c>
      <c r="N18">
        <v>40</v>
      </c>
    </row>
    <row r="19" spans="1:14" x14ac:dyDescent="0.2">
      <c r="A19" t="s">
        <v>102</v>
      </c>
      <c r="B19">
        <v>6</v>
      </c>
      <c r="C19">
        <v>57</v>
      </c>
      <c r="D19">
        <v>57</v>
      </c>
      <c r="E19">
        <v>57</v>
      </c>
      <c r="F19">
        <v>57</v>
      </c>
      <c r="G19">
        <v>57</v>
      </c>
      <c r="H19">
        <v>57</v>
      </c>
      <c r="I19">
        <v>57</v>
      </c>
      <c r="J19">
        <v>57</v>
      </c>
      <c r="K19">
        <v>57</v>
      </c>
      <c r="L19">
        <v>57</v>
      </c>
      <c r="M19">
        <v>57</v>
      </c>
      <c r="N19">
        <v>57</v>
      </c>
    </row>
    <row r="20" spans="1:14" x14ac:dyDescent="0.2">
      <c r="A20" t="s">
        <v>102</v>
      </c>
      <c r="B20">
        <v>7</v>
      </c>
      <c r="C20">
        <v>47</v>
      </c>
      <c r="D20">
        <v>47</v>
      </c>
      <c r="E20">
        <v>47</v>
      </c>
      <c r="F20">
        <v>47</v>
      </c>
      <c r="G20">
        <v>47</v>
      </c>
      <c r="H20">
        <v>47</v>
      </c>
      <c r="I20">
        <v>47</v>
      </c>
      <c r="J20">
        <v>47</v>
      </c>
      <c r="K20">
        <v>47</v>
      </c>
      <c r="L20">
        <v>47</v>
      </c>
      <c r="M20">
        <v>47</v>
      </c>
      <c r="N20">
        <v>47</v>
      </c>
    </row>
    <row r="21" spans="1:14" x14ac:dyDescent="0.2">
      <c r="A21" t="s">
        <v>103</v>
      </c>
      <c r="B21">
        <v>0</v>
      </c>
      <c r="C21">
        <v>200</v>
      </c>
      <c r="D21">
        <v>200</v>
      </c>
      <c r="E21">
        <v>200</v>
      </c>
      <c r="F21">
        <v>200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200</v>
      </c>
      <c r="N21">
        <v>200</v>
      </c>
    </row>
    <row r="22" spans="1:14" x14ac:dyDescent="0.2">
      <c r="A22" t="s">
        <v>104</v>
      </c>
      <c r="B22">
        <v>2</v>
      </c>
      <c r="C22">
        <v>20</v>
      </c>
      <c r="D22">
        <v>20</v>
      </c>
      <c r="E22">
        <v>20</v>
      </c>
      <c r="F22">
        <v>20</v>
      </c>
      <c r="G22">
        <v>20</v>
      </c>
      <c r="H22">
        <v>20</v>
      </c>
      <c r="I22">
        <v>20</v>
      </c>
      <c r="J22">
        <v>20</v>
      </c>
      <c r="K22">
        <v>20</v>
      </c>
      <c r="L22">
        <v>20</v>
      </c>
      <c r="M22">
        <v>20</v>
      </c>
      <c r="N22">
        <v>20</v>
      </c>
    </row>
    <row r="23" spans="1:14" x14ac:dyDescent="0.2">
      <c r="A23" t="s">
        <v>104</v>
      </c>
      <c r="B23">
        <v>4</v>
      </c>
      <c r="C23">
        <v>20</v>
      </c>
      <c r="D23">
        <v>20</v>
      </c>
      <c r="E23">
        <v>20</v>
      </c>
      <c r="F23">
        <v>20</v>
      </c>
      <c r="G23">
        <v>20</v>
      </c>
      <c r="H23">
        <v>20</v>
      </c>
      <c r="I23">
        <v>20</v>
      </c>
      <c r="J23">
        <v>20</v>
      </c>
      <c r="K23">
        <v>20</v>
      </c>
      <c r="L23">
        <v>20</v>
      </c>
      <c r="M23">
        <v>20</v>
      </c>
      <c r="N23">
        <v>20</v>
      </c>
    </row>
    <row r="24" spans="1:14" x14ac:dyDescent="0.2">
      <c r="A24" t="s">
        <v>104</v>
      </c>
      <c r="B24">
        <v>5</v>
      </c>
      <c r="C24">
        <v>20</v>
      </c>
      <c r="D24">
        <v>20</v>
      </c>
      <c r="E24">
        <v>20</v>
      </c>
      <c r="F24">
        <v>20</v>
      </c>
      <c r="G24">
        <v>20</v>
      </c>
      <c r="H24">
        <v>20</v>
      </c>
      <c r="I24">
        <v>20</v>
      </c>
      <c r="J24">
        <v>20</v>
      </c>
      <c r="K24">
        <v>20</v>
      </c>
      <c r="L24">
        <v>20</v>
      </c>
      <c r="M24">
        <v>20</v>
      </c>
      <c r="N24">
        <v>20</v>
      </c>
    </row>
    <row r="25" spans="1:14" x14ac:dyDescent="0.2">
      <c r="A25" t="s">
        <v>104</v>
      </c>
      <c r="B25">
        <v>6</v>
      </c>
      <c r="C25">
        <v>20</v>
      </c>
      <c r="D25">
        <v>20</v>
      </c>
      <c r="E25">
        <v>20</v>
      </c>
      <c r="F25">
        <v>20</v>
      </c>
      <c r="G25">
        <v>20</v>
      </c>
      <c r="H25">
        <v>20</v>
      </c>
      <c r="I25">
        <v>20</v>
      </c>
      <c r="J25">
        <v>20</v>
      </c>
      <c r="K25">
        <v>20</v>
      </c>
      <c r="L25">
        <v>20</v>
      </c>
      <c r="M25">
        <v>20</v>
      </c>
      <c r="N25">
        <v>20</v>
      </c>
    </row>
    <row r="26" spans="1:14" x14ac:dyDescent="0.2">
      <c r="A26" t="s">
        <v>104</v>
      </c>
      <c r="B26">
        <v>7</v>
      </c>
      <c r="C26">
        <v>20</v>
      </c>
      <c r="D26">
        <v>20</v>
      </c>
      <c r="E26">
        <v>20</v>
      </c>
      <c r="F26">
        <v>20</v>
      </c>
      <c r="G26">
        <v>20</v>
      </c>
      <c r="H26">
        <v>20</v>
      </c>
      <c r="I26">
        <v>20</v>
      </c>
      <c r="J26">
        <v>20</v>
      </c>
      <c r="K26">
        <v>20</v>
      </c>
      <c r="L26">
        <v>20</v>
      </c>
      <c r="M26">
        <v>20</v>
      </c>
      <c r="N26">
        <v>20</v>
      </c>
    </row>
    <row r="27" spans="1:14" x14ac:dyDescent="0.2">
      <c r="A27" t="s">
        <v>104</v>
      </c>
      <c r="B27">
        <v>8</v>
      </c>
      <c r="C27">
        <v>20</v>
      </c>
      <c r="D27">
        <v>20</v>
      </c>
      <c r="E27">
        <v>20</v>
      </c>
      <c r="F27">
        <v>20</v>
      </c>
      <c r="G27">
        <v>20</v>
      </c>
      <c r="H27">
        <v>20</v>
      </c>
      <c r="I27">
        <v>20</v>
      </c>
      <c r="J27">
        <v>20</v>
      </c>
      <c r="K27">
        <v>20</v>
      </c>
      <c r="L27">
        <v>20</v>
      </c>
      <c r="M27">
        <v>20</v>
      </c>
      <c r="N27">
        <v>20</v>
      </c>
    </row>
    <row r="28" spans="1:14" x14ac:dyDescent="0.2">
      <c r="A28" t="s">
        <v>104</v>
      </c>
      <c r="B28">
        <v>0</v>
      </c>
      <c r="C28">
        <v>20</v>
      </c>
      <c r="D28">
        <v>20</v>
      </c>
      <c r="E28">
        <v>20</v>
      </c>
      <c r="F28">
        <v>20</v>
      </c>
      <c r="G28">
        <v>20</v>
      </c>
      <c r="H28">
        <v>20</v>
      </c>
      <c r="I28">
        <v>20</v>
      </c>
      <c r="J28">
        <v>20</v>
      </c>
      <c r="K28">
        <v>20</v>
      </c>
      <c r="L28">
        <v>20</v>
      </c>
      <c r="M28">
        <v>20</v>
      </c>
      <c r="N28">
        <v>20</v>
      </c>
    </row>
    <row r="29" spans="1:14" x14ac:dyDescent="0.2">
      <c r="A29" t="s">
        <v>105</v>
      </c>
      <c r="B29">
        <v>6</v>
      </c>
      <c r="C29">
        <v>31.71</v>
      </c>
      <c r="D29">
        <v>31.71</v>
      </c>
      <c r="E29">
        <v>31.71</v>
      </c>
      <c r="F29">
        <v>31.71</v>
      </c>
      <c r="G29">
        <v>31.71</v>
      </c>
      <c r="H29">
        <v>31.71</v>
      </c>
      <c r="I29">
        <v>31.71</v>
      </c>
      <c r="J29">
        <v>31.71</v>
      </c>
      <c r="K29">
        <v>31.71</v>
      </c>
      <c r="L29">
        <v>31.71</v>
      </c>
      <c r="M29">
        <v>31.71</v>
      </c>
      <c r="N29">
        <v>31.71</v>
      </c>
    </row>
    <row r="30" spans="1:14" x14ac:dyDescent="0.2">
      <c r="A30" t="s">
        <v>106</v>
      </c>
      <c r="B30">
        <v>2</v>
      </c>
      <c r="C30">
        <v>31.71</v>
      </c>
      <c r="D30">
        <v>31.71</v>
      </c>
      <c r="E30">
        <v>31.71</v>
      </c>
      <c r="F30">
        <v>31.71</v>
      </c>
      <c r="G30">
        <v>31.71</v>
      </c>
      <c r="H30">
        <v>31.71</v>
      </c>
      <c r="I30">
        <v>31.71</v>
      </c>
      <c r="J30">
        <v>31.71</v>
      </c>
      <c r="K30">
        <v>31.71</v>
      </c>
      <c r="L30">
        <v>31.71</v>
      </c>
      <c r="M30">
        <v>31.71</v>
      </c>
      <c r="N30">
        <v>31.71</v>
      </c>
    </row>
    <row r="31" spans="1:14" x14ac:dyDescent="0.2">
      <c r="A31" t="s">
        <v>106</v>
      </c>
      <c r="B31">
        <v>4</v>
      </c>
      <c r="C31">
        <v>31.71</v>
      </c>
      <c r="D31">
        <v>31.71</v>
      </c>
      <c r="E31">
        <v>31.71</v>
      </c>
      <c r="F31">
        <v>31.71</v>
      </c>
      <c r="G31">
        <v>31.71</v>
      </c>
      <c r="H31">
        <v>31.71</v>
      </c>
      <c r="I31">
        <v>31.71</v>
      </c>
      <c r="J31">
        <v>31.71</v>
      </c>
      <c r="K31">
        <v>31.71</v>
      </c>
      <c r="L31">
        <v>31.71</v>
      </c>
      <c r="M31">
        <v>31.71</v>
      </c>
      <c r="N31">
        <v>31.71</v>
      </c>
    </row>
    <row r="32" spans="1:14" x14ac:dyDescent="0.2">
      <c r="A32" t="s">
        <v>106</v>
      </c>
      <c r="B32">
        <v>5</v>
      </c>
      <c r="C32">
        <v>31.71</v>
      </c>
      <c r="D32">
        <v>31.71</v>
      </c>
      <c r="E32">
        <v>31.71</v>
      </c>
      <c r="F32">
        <v>31.71</v>
      </c>
      <c r="G32">
        <v>31.71</v>
      </c>
      <c r="H32">
        <v>31.71</v>
      </c>
      <c r="I32">
        <v>31.71</v>
      </c>
      <c r="J32">
        <v>31.71</v>
      </c>
      <c r="K32">
        <v>31.71</v>
      </c>
      <c r="L32">
        <v>31.71</v>
      </c>
      <c r="M32">
        <v>31.71</v>
      </c>
      <c r="N32">
        <v>31.71</v>
      </c>
    </row>
    <row r="33" spans="1:14" x14ac:dyDescent="0.2">
      <c r="A33" t="s">
        <v>106</v>
      </c>
      <c r="B33">
        <v>0</v>
      </c>
      <c r="C33">
        <v>48.23</v>
      </c>
      <c r="D33">
        <v>48.23</v>
      </c>
      <c r="E33">
        <v>48.23</v>
      </c>
      <c r="F33">
        <v>48.23</v>
      </c>
      <c r="G33">
        <v>48.23</v>
      </c>
      <c r="H33">
        <v>48.23</v>
      </c>
      <c r="I33">
        <v>48.23</v>
      </c>
      <c r="J33">
        <v>48.23</v>
      </c>
      <c r="K33">
        <v>48.23</v>
      </c>
      <c r="L33">
        <v>48.23</v>
      </c>
      <c r="M33">
        <v>48.23</v>
      </c>
      <c r="N33">
        <v>48.23</v>
      </c>
    </row>
    <row r="34" spans="1:14" x14ac:dyDescent="0.2">
      <c r="A34" t="s">
        <v>107</v>
      </c>
      <c r="B34">
        <v>2</v>
      </c>
      <c r="C34">
        <v>12</v>
      </c>
      <c r="D34">
        <v>12</v>
      </c>
      <c r="E34">
        <v>12</v>
      </c>
      <c r="F34">
        <v>12</v>
      </c>
      <c r="G34">
        <v>12</v>
      </c>
      <c r="H34">
        <v>12</v>
      </c>
      <c r="I34">
        <v>12</v>
      </c>
      <c r="J34">
        <v>12</v>
      </c>
      <c r="K34">
        <v>12</v>
      </c>
      <c r="L34">
        <v>12</v>
      </c>
      <c r="M34">
        <v>12</v>
      </c>
      <c r="N34">
        <v>12</v>
      </c>
    </row>
    <row r="35" spans="1:14" x14ac:dyDescent="0.2">
      <c r="A35" t="s">
        <v>107</v>
      </c>
      <c r="B35">
        <v>7</v>
      </c>
      <c r="C35">
        <v>12</v>
      </c>
      <c r="D35">
        <v>12</v>
      </c>
      <c r="E35">
        <v>12</v>
      </c>
      <c r="F35">
        <v>12</v>
      </c>
      <c r="G35">
        <v>12</v>
      </c>
      <c r="H35">
        <v>12</v>
      </c>
      <c r="I35">
        <v>12</v>
      </c>
      <c r="J35">
        <v>12</v>
      </c>
      <c r="K35">
        <v>12</v>
      </c>
      <c r="L35">
        <v>12</v>
      </c>
      <c r="M35">
        <v>12</v>
      </c>
      <c r="N35">
        <v>12</v>
      </c>
    </row>
    <row r="36" spans="1:14" x14ac:dyDescent="0.2">
      <c r="A36" t="s">
        <v>108</v>
      </c>
      <c r="B36">
        <v>2</v>
      </c>
      <c r="C36">
        <f>1800/6/12</f>
        <v>25</v>
      </c>
      <c r="D36">
        <f>1800/6/12</f>
        <v>25</v>
      </c>
      <c r="E36">
        <f t="shared" ref="E36:N41" si="2">1800/6/12</f>
        <v>25</v>
      </c>
      <c r="F36">
        <f t="shared" si="2"/>
        <v>25</v>
      </c>
      <c r="G36">
        <f t="shared" si="2"/>
        <v>25</v>
      </c>
      <c r="H36">
        <f t="shared" si="2"/>
        <v>25</v>
      </c>
      <c r="I36">
        <f t="shared" si="2"/>
        <v>25</v>
      </c>
      <c r="J36">
        <f t="shared" si="2"/>
        <v>25</v>
      </c>
      <c r="K36">
        <f t="shared" si="2"/>
        <v>25</v>
      </c>
      <c r="L36">
        <f t="shared" si="2"/>
        <v>25</v>
      </c>
      <c r="M36">
        <f t="shared" si="2"/>
        <v>25</v>
      </c>
      <c r="N36">
        <f t="shared" si="2"/>
        <v>25</v>
      </c>
    </row>
    <row r="37" spans="1:14" x14ac:dyDescent="0.2">
      <c r="A37" t="s">
        <v>108</v>
      </c>
      <c r="B37">
        <v>4</v>
      </c>
      <c r="C37">
        <f t="shared" ref="C37:D41" si="3">1800/6/12</f>
        <v>25</v>
      </c>
      <c r="D37">
        <f t="shared" si="3"/>
        <v>25</v>
      </c>
      <c r="E37">
        <f t="shared" si="2"/>
        <v>25</v>
      </c>
      <c r="F37">
        <f t="shared" si="2"/>
        <v>25</v>
      </c>
      <c r="G37">
        <f t="shared" si="2"/>
        <v>25</v>
      </c>
      <c r="H37">
        <f t="shared" si="2"/>
        <v>25</v>
      </c>
      <c r="I37">
        <f t="shared" si="2"/>
        <v>25</v>
      </c>
      <c r="J37">
        <f t="shared" si="2"/>
        <v>25</v>
      </c>
      <c r="K37">
        <f t="shared" si="2"/>
        <v>25</v>
      </c>
      <c r="L37">
        <f t="shared" si="2"/>
        <v>25</v>
      </c>
      <c r="M37">
        <f t="shared" si="2"/>
        <v>25</v>
      </c>
      <c r="N37">
        <f t="shared" si="2"/>
        <v>25</v>
      </c>
    </row>
    <row r="38" spans="1:14" x14ac:dyDescent="0.2">
      <c r="A38" t="s">
        <v>108</v>
      </c>
      <c r="B38">
        <v>5</v>
      </c>
      <c r="C38">
        <f t="shared" si="3"/>
        <v>25</v>
      </c>
      <c r="D38">
        <f t="shared" si="3"/>
        <v>25</v>
      </c>
      <c r="E38">
        <f t="shared" si="2"/>
        <v>25</v>
      </c>
      <c r="F38">
        <f t="shared" si="2"/>
        <v>25</v>
      </c>
      <c r="G38">
        <f t="shared" si="2"/>
        <v>25</v>
      </c>
      <c r="H38">
        <f t="shared" si="2"/>
        <v>25</v>
      </c>
      <c r="I38">
        <f t="shared" si="2"/>
        <v>25</v>
      </c>
      <c r="J38">
        <f t="shared" si="2"/>
        <v>25</v>
      </c>
      <c r="K38">
        <f t="shared" si="2"/>
        <v>25</v>
      </c>
      <c r="L38">
        <f t="shared" si="2"/>
        <v>25</v>
      </c>
      <c r="M38">
        <f t="shared" si="2"/>
        <v>25</v>
      </c>
      <c r="N38">
        <f t="shared" si="2"/>
        <v>25</v>
      </c>
    </row>
    <row r="39" spans="1:14" x14ac:dyDescent="0.2">
      <c r="A39" t="s">
        <v>108</v>
      </c>
      <c r="B39">
        <v>6</v>
      </c>
      <c r="C39">
        <f t="shared" si="3"/>
        <v>25</v>
      </c>
      <c r="D39">
        <f t="shared" si="3"/>
        <v>25</v>
      </c>
      <c r="E39">
        <f t="shared" si="2"/>
        <v>25</v>
      </c>
      <c r="F39">
        <f t="shared" si="2"/>
        <v>25</v>
      </c>
      <c r="G39">
        <f t="shared" si="2"/>
        <v>25</v>
      </c>
      <c r="H39">
        <f t="shared" si="2"/>
        <v>25</v>
      </c>
      <c r="I39">
        <f t="shared" si="2"/>
        <v>25</v>
      </c>
      <c r="J39">
        <f t="shared" si="2"/>
        <v>25</v>
      </c>
      <c r="K39">
        <f t="shared" si="2"/>
        <v>25</v>
      </c>
      <c r="L39">
        <f t="shared" si="2"/>
        <v>25</v>
      </c>
      <c r="M39">
        <f t="shared" si="2"/>
        <v>25</v>
      </c>
      <c r="N39">
        <f t="shared" si="2"/>
        <v>25</v>
      </c>
    </row>
    <row r="40" spans="1:14" x14ac:dyDescent="0.2">
      <c r="A40" t="s">
        <v>108</v>
      </c>
      <c r="B40">
        <v>0</v>
      </c>
      <c r="C40">
        <f t="shared" si="3"/>
        <v>25</v>
      </c>
      <c r="D40">
        <f t="shared" si="3"/>
        <v>25</v>
      </c>
      <c r="E40">
        <f t="shared" si="2"/>
        <v>25</v>
      </c>
      <c r="F40">
        <f t="shared" si="2"/>
        <v>25</v>
      </c>
      <c r="G40">
        <f t="shared" si="2"/>
        <v>25</v>
      </c>
      <c r="H40">
        <f t="shared" si="2"/>
        <v>25</v>
      </c>
      <c r="I40">
        <f t="shared" si="2"/>
        <v>25</v>
      </c>
      <c r="J40">
        <f t="shared" si="2"/>
        <v>25</v>
      </c>
      <c r="K40">
        <f t="shared" si="2"/>
        <v>25</v>
      </c>
      <c r="L40">
        <f t="shared" si="2"/>
        <v>25</v>
      </c>
      <c r="M40">
        <f t="shared" si="2"/>
        <v>25</v>
      </c>
      <c r="N40">
        <f t="shared" si="2"/>
        <v>25</v>
      </c>
    </row>
    <row r="41" spans="1:14" x14ac:dyDescent="0.2">
      <c r="A41" t="s">
        <v>108</v>
      </c>
      <c r="B41">
        <v>8</v>
      </c>
      <c r="C41">
        <f t="shared" si="3"/>
        <v>25</v>
      </c>
      <c r="D41">
        <f t="shared" si="3"/>
        <v>25</v>
      </c>
      <c r="E41">
        <f t="shared" si="2"/>
        <v>25</v>
      </c>
      <c r="F41">
        <f t="shared" si="2"/>
        <v>25</v>
      </c>
      <c r="G41">
        <f t="shared" si="2"/>
        <v>25</v>
      </c>
      <c r="H41">
        <f t="shared" si="2"/>
        <v>25</v>
      </c>
      <c r="I41">
        <f t="shared" si="2"/>
        <v>25</v>
      </c>
      <c r="J41">
        <f t="shared" si="2"/>
        <v>25</v>
      </c>
      <c r="K41">
        <f t="shared" si="2"/>
        <v>25</v>
      </c>
      <c r="L41">
        <f t="shared" si="2"/>
        <v>25</v>
      </c>
      <c r="M41">
        <f t="shared" si="2"/>
        <v>25</v>
      </c>
      <c r="N41">
        <f t="shared" si="2"/>
        <v>25</v>
      </c>
    </row>
    <row r="42" spans="1:14" x14ac:dyDescent="0.2">
      <c r="A42" t="s">
        <v>109</v>
      </c>
      <c r="B42">
        <v>2</v>
      </c>
      <c r="C42">
        <v>35</v>
      </c>
      <c r="D42">
        <v>35</v>
      </c>
      <c r="E42">
        <v>35</v>
      </c>
      <c r="F42">
        <v>35</v>
      </c>
      <c r="G42">
        <v>35</v>
      </c>
      <c r="H42">
        <v>35</v>
      </c>
      <c r="I42">
        <v>35</v>
      </c>
      <c r="J42">
        <v>35</v>
      </c>
      <c r="K42">
        <v>35</v>
      </c>
      <c r="L42">
        <v>35</v>
      </c>
      <c r="M42">
        <v>35</v>
      </c>
      <c r="N42">
        <v>35</v>
      </c>
    </row>
    <row r="43" spans="1:14" x14ac:dyDescent="0.2">
      <c r="A43" t="s">
        <v>109</v>
      </c>
      <c r="B43">
        <v>4</v>
      </c>
      <c r="C43">
        <v>35</v>
      </c>
      <c r="D43">
        <v>35</v>
      </c>
      <c r="E43">
        <v>35</v>
      </c>
      <c r="F43">
        <v>35</v>
      </c>
      <c r="G43">
        <v>35</v>
      </c>
      <c r="H43">
        <v>35</v>
      </c>
      <c r="I43">
        <v>35</v>
      </c>
      <c r="J43">
        <v>35</v>
      </c>
      <c r="K43">
        <v>35</v>
      </c>
      <c r="L43">
        <v>35</v>
      </c>
      <c r="M43">
        <v>35</v>
      </c>
      <c r="N43">
        <v>35</v>
      </c>
    </row>
    <row r="44" spans="1:14" x14ac:dyDescent="0.2">
      <c r="A44" t="s">
        <v>109</v>
      </c>
      <c r="B44">
        <v>5</v>
      </c>
      <c r="C44">
        <v>35</v>
      </c>
      <c r="D44">
        <v>35</v>
      </c>
      <c r="E44">
        <v>35</v>
      </c>
      <c r="F44">
        <v>35</v>
      </c>
      <c r="G44">
        <v>35</v>
      </c>
      <c r="H44">
        <v>35</v>
      </c>
      <c r="I44">
        <v>35</v>
      </c>
      <c r="J44">
        <v>35</v>
      </c>
      <c r="K44">
        <v>35</v>
      </c>
      <c r="L44">
        <v>35</v>
      </c>
      <c r="M44">
        <v>35</v>
      </c>
      <c r="N44">
        <v>35</v>
      </c>
    </row>
    <row r="45" spans="1:14" x14ac:dyDescent="0.2">
      <c r="A45" t="s">
        <v>109</v>
      </c>
      <c r="B45">
        <v>6</v>
      </c>
      <c r="C45">
        <v>35</v>
      </c>
      <c r="D45">
        <v>35</v>
      </c>
      <c r="E45">
        <v>35</v>
      </c>
      <c r="F45">
        <v>35</v>
      </c>
      <c r="G45">
        <v>35</v>
      </c>
      <c r="H45">
        <v>35</v>
      </c>
      <c r="I45">
        <v>35</v>
      </c>
      <c r="J45">
        <v>35</v>
      </c>
      <c r="K45">
        <v>35</v>
      </c>
      <c r="L45">
        <v>35</v>
      </c>
      <c r="M45">
        <v>35</v>
      </c>
      <c r="N45">
        <v>35</v>
      </c>
    </row>
    <row r="46" spans="1:14" x14ac:dyDescent="0.2">
      <c r="A46" t="s">
        <v>109</v>
      </c>
      <c r="B46">
        <v>0</v>
      </c>
      <c r="C46">
        <v>50</v>
      </c>
      <c r="D46">
        <v>50</v>
      </c>
      <c r="E46">
        <v>50</v>
      </c>
      <c r="F46">
        <v>50</v>
      </c>
      <c r="G46">
        <v>50</v>
      </c>
      <c r="H46">
        <v>50</v>
      </c>
      <c r="I46">
        <v>50</v>
      </c>
      <c r="J46">
        <v>50</v>
      </c>
      <c r="K46">
        <v>50</v>
      </c>
      <c r="L46">
        <v>50</v>
      </c>
      <c r="M46">
        <v>50</v>
      </c>
      <c r="N46">
        <v>50</v>
      </c>
    </row>
    <row r="47" spans="1:14" x14ac:dyDescent="0.2">
      <c r="A47" t="s">
        <v>110</v>
      </c>
      <c r="B47">
        <v>5</v>
      </c>
      <c r="C47">
        <v>35</v>
      </c>
      <c r="D47">
        <v>35</v>
      </c>
      <c r="E47">
        <v>35</v>
      </c>
      <c r="F47">
        <v>35</v>
      </c>
      <c r="G47">
        <v>35</v>
      </c>
      <c r="H47">
        <v>35</v>
      </c>
      <c r="I47">
        <v>35</v>
      </c>
      <c r="J47">
        <v>35</v>
      </c>
      <c r="K47">
        <v>35</v>
      </c>
      <c r="L47">
        <v>35</v>
      </c>
      <c r="M47">
        <v>35</v>
      </c>
      <c r="N47">
        <v>35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2E14-7D80-B444-8D52-9998C7F66F50}">
  <sheetPr codeName="Sheet2"/>
  <dimension ref="A1:G15"/>
  <sheetViews>
    <sheetView workbookViewId="0">
      <selection activeCell="F19" sqref="F19"/>
    </sheetView>
  </sheetViews>
  <sheetFormatPr baseColWidth="10" defaultRowHeight="16" x14ac:dyDescent="0.2"/>
  <sheetData>
    <row r="1" spans="1:7" x14ac:dyDescent="0.2">
      <c r="A1" s="2" t="s">
        <v>62</v>
      </c>
      <c r="B1" s="2" t="s">
        <v>65</v>
      </c>
      <c r="C1" s="2">
        <v>0</v>
      </c>
      <c r="D1" s="2">
        <v>2</v>
      </c>
      <c r="E1" s="2">
        <v>4</v>
      </c>
      <c r="F1" s="2">
        <v>5</v>
      </c>
    </row>
    <row r="2" spans="1:7" x14ac:dyDescent="0.2">
      <c r="A2" s="2">
        <v>1</v>
      </c>
      <c r="B2" s="2">
        <v>2026</v>
      </c>
      <c r="C2">
        <f>130*0.1*30</f>
        <v>390</v>
      </c>
      <c r="D2">
        <f>0.5*30*40</f>
        <v>600</v>
      </c>
      <c r="E2">
        <f>0.5*30*35</f>
        <v>525</v>
      </c>
      <c r="F2">
        <f>0.5*30*30</f>
        <v>450</v>
      </c>
    </row>
    <row r="3" spans="1:7" x14ac:dyDescent="0.2">
      <c r="A3" s="2">
        <v>2</v>
      </c>
      <c r="B3" s="2">
        <v>2026</v>
      </c>
      <c r="C3">
        <f>130*0.1*30</f>
        <v>390</v>
      </c>
      <c r="D3">
        <f>0.5*30*40</f>
        <v>600</v>
      </c>
      <c r="E3">
        <f>0.5*30*35</f>
        <v>525</v>
      </c>
      <c r="F3">
        <f>0.5*30*30</f>
        <v>450</v>
      </c>
    </row>
    <row r="4" spans="1:7" x14ac:dyDescent="0.2">
      <c r="A4" s="2">
        <v>3</v>
      </c>
      <c r="B4" s="2">
        <v>2026</v>
      </c>
      <c r="C4">
        <f>130*0.1*30</f>
        <v>390</v>
      </c>
      <c r="D4">
        <f>0.5*30*40</f>
        <v>600</v>
      </c>
      <c r="E4">
        <f>0.5*30*35</f>
        <v>525</v>
      </c>
      <c r="F4">
        <f>0.5*30*30</f>
        <v>450</v>
      </c>
    </row>
    <row r="5" spans="1:7" x14ac:dyDescent="0.2">
      <c r="A5" s="2">
        <v>4</v>
      </c>
      <c r="B5" s="2">
        <v>2026</v>
      </c>
      <c r="C5">
        <f>150*0.6*30</f>
        <v>2700</v>
      </c>
      <c r="D5">
        <f>0.5*30*90</f>
        <v>1350</v>
      </c>
      <c r="E5">
        <f>0.5*30*80</f>
        <v>1200</v>
      </c>
      <c r="F5">
        <f>0.5*30*60</f>
        <v>900</v>
      </c>
    </row>
    <row r="6" spans="1:7" x14ac:dyDescent="0.2">
      <c r="A6" s="2">
        <v>5</v>
      </c>
      <c r="B6" s="2">
        <v>2026</v>
      </c>
      <c r="C6">
        <f>160*0.6*30</f>
        <v>2880</v>
      </c>
      <c r="D6">
        <f>0.5*30*90</f>
        <v>1350</v>
      </c>
      <c r="E6">
        <f>0.5*30*80</f>
        <v>1200</v>
      </c>
      <c r="F6">
        <f>0.5*30*60</f>
        <v>900</v>
      </c>
    </row>
    <row r="7" spans="1:7" x14ac:dyDescent="0.2">
      <c r="A7" s="2">
        <v>6</v>
      </c>
      <c r="B7" s="2">
        <v>2026</v>
      </c>
      <c r="C7">
        <f>150*30</f>
        <v>4500</v>
      </c>
      <c r="D7">
        <f>0.5*30*90</f>
        <v>1350</v>
      </c>
      <c r="E7">
        <f>0.5*30*80</f>
        <v>1200</v>
      </c>
      <c r="F7">
        <f>0.5*30*60</f>
        <v>900</v>
      </c>
    </row>
    <row r="8" spans="1:7" x14ac:dyDescent="0.2">
      <c r="A8" s="2">
        <v>7</v>
      </c>
      <c r="B8" s="2">
        <v>2026</v>
      </c>
      <c r="C8">
        <f>220*30</f>
        <v>6600</v>
      </c>
      <c r="D8">
        <f>115*31</f>
        <v>3565</v>
      </c>
      <c r="E8">
        <f>105*30</f>
        <v>3150</v>
      </c>
      <c r="F8">
        <f>85*30</f>
        <v>2550</v>
      </c>
    </row>
    <row r="9" spans="1:7" x14ac:dyDescent="0.2">
      <c r="A9" s="2">
        <v>8</v>
      </c>
      <c r="B9" s="2">
        <v>2026</v>
      </c>
      <c r="C9">
        <f>220*30</f>
        <v>6600</v>
      </c>
      <c r="D9">
        <f>115*31</f>
        <v>3565</v>
      </c>
      <c r="E9">
        <f>105*30</f>
        <v>3150</v>
      </c>
      <c r="F9">
        <f>85*30</f>
        <v>2550</v>
      </c>
    </row>
    <row r="10" spans="1:7" x14ac:dyDescent="0.2">
      <c r="A10" s="2">
        <v>9</v>
      </c>
      <c r="B10" s="2">
        <v>2026</v>
      </c>
      <c r="C10">
        <f>190*0.5*30</f>
        <v>2850</v>
      </c>
      <c r="D10">
        <f>95*0.8*30</f>
        <v>2280</v>
      </c>
      <c r="E10">
        <f>85*0.8*30</f>
        <v>2040</v>
      </c>
      <c r="F10">
        <f>65*0.8*30</f>
        <v>1560</v>
      </c>
    </row>
    <row r="11" spans="1:7" x14ac:dyDescent="0.2">
      <c r="A11" s="2">
        <v>10</v>
      </c>
      <c r="B11" s="2">
        <v>2026</v>
      </c>
      <c r="C11">
        <f>150+0.1*30</f>
        <v>153</v>
      </c>
      <c r="D11">
        <f>0.6*30*40</f>
        <v>720</v>
      </c>
      <c r="E11">
        <f>0.6*30*35</f>
        <v>630</v>
      </c>
      <c r="F11">
        <f>0.6*30*30</f>
        <v>540</v>
      </c>
    </row>
    <row r="12" spans="1:7" x14ac:dyDescent="0.2">
      <c r="A12" s="2">
        <v>11</v>
      </c>
      <c r="B12" s="2">
        <v>2026</v>
      </c>
      <c r="C12">
        <f>150+0.1*30</f>
        <v>153</v>
      </c>
      <c r="D12">
        <f>0.6*30*40</f>
        <v>720</v>
      </c>
      <c r="E12">
        <f>0.6*30*35</f>
        <v>630</v>
      </c>
      <c r="F12">
        <f>0.6*30*30</f>
        <v>540</v>
      </c>
    </row>
    <row r="13" spans="1:7" x14ac:dyDescent="0.2">
      <c r="A13" s="2">
        <v>12</v>
      </c>
      <c r="B13" s="2">
        <v>2026</v>
      </c>
      <c r="C13">
        <f>0.1*220*30</f>
        <v>660</v>
      </c>
      <c r="D13">
        <f>0.5*30*40</f>
        <v>600</v>
      </c>
      <c r="E13">
        <f>0.5*30*35</f>
        <v>525</v>
      </c>
      <c r="F13">
        <f>0.5*30*30</f>
        <v>450</v>
      </c>
    </row>
    <row r="15" spans="1:7" x14ac:dyDescent="0.2">
      <c r="A15" s="2" t="s">
        <v>63</v>
      </c>
      <c r="B15" s="2"/>
      <c r="C15" s="2">
        <f>SUM(C2:C13)</f>
        <v>28266</v>
      </c>
      <c r="D15" s="2">
        <f t="shared" ref="D15:F15" si="0">SUM(D2:D13)</f>
        <v>17300</v>
      </c>
      <c r="E15" s="2">
        <f t="shared" si="0"/>
        <v>15300</v>
      </c>
      <c r="F15" s="2">
        <f t="shared" si="0"/>
        <v>12240</v>
      </c>
      <c r="G1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7825-49AA-F643-87EA-44B458430892}">
  <sheetPr codeName="Sheet3"/>
  <dimension ref="A1:F38"/>
  <sheetViews>
    <sheetView workbookViewId="0">
      <selection activeCell="A3" sqref="A3:B9"/>
    </sheetView>
  </sheetViews>
  <sheetFormatPr baseColWidth="10" defaultRowHeight="16" x14ac:dyDescent="0.2"/>
  <sheetData>
    <row r="1" spans="1:2" x14ac:dyDescent="0.2">
      <c r="A1" t="s">
        <v>5</v>
      </c>
    </row>
    <row r="3" spans="1:2" x14ac:dyDescent="0.2">
      <c r="A3">
        <v>0</v>
      </c>
      <c r="B3" s="1" t="s">
        <v>6</v>
      </c>
    </row>
    <row r="4" spans="1:2" x14ac:dyDescent="0.2">
      <c r="A4">
        <v>4</v>
      </c>
      <c r="B4" s="1" t="s">
        <v>7</v>
      </c>
    </row>
    <row r="5" spans="1:2" x14ac:dyDescent="0.2">
      <c r="A5">
        <v>2</v>
      </c>
      <c r="B5" s="1" t="s">
        <v>8</v>
      </c>
    </row>
    <row r="6" spans="1:2" x14ac:dyDescent="0.2">
      <c r="A6">
        <v>5</v>
      </c>
      <c r="B6" s="1" t="s">
        <v>9</v>
      </c>
    </row>
    <row r="7" spans="1:2" x14ac:dyDescent="0.2">
      <c r="A7">
        <v>6</v>
      </c>
      <c r="B7" s="1" t="s">
        <v>82</v>
      </c>
    </row>
    <row r="8" spans="1:2" x14ac:dyDescent="0.2">
      <c r="A8">
        <v>7</v>
      </c>
      <c r="B8" s="1" t="s">
        <v>84</v>
      </c>
    </row>
    <row r="9" spans="1:2" x14ac:dyDescent="0.2">
      <c r="A9">
        <v>8</v>
      </c>
      <c r="B9" s="1" t="s">
        <v>99</v>
      </c>
    </row>
    <row r="11" spans="1:2" x14ac:dyDescent="0.2">
      <c r="A11" t="s">
        <v>20</v>
      </c>
      <c r="B11" t="s">
        <v>15</v>
      </c>
    </row>
    <row r="12" spans="1:2" x14ac:dyDescent="0.2">
      <c r="B12" t="s">
        <v>21</v>
      </c>
    </row>
    <row r="13" spans="1:2" x14ac:dyDescent="0.2">
      <c r="B13" t="s">
        <v>22</v>
      </c>
    </row>
    <row r="14" spans="1:2" x14ac:dyDescent="0.2">
      <c r="B14" t="s">
        <v>46</v>
      </c>
    </row>
    <row r="15" spans="1:2" x14ac:dyDescent="0.2">
      <c r="B15" t="s">
        <v>23</v>
      </c>
    </row>
    <row r="22" spans="1:6" x14ac:dyDescent="0.2">
      <c r="A22" t="s">
        <v>77</v>
      </c>
    </row>
    <row r="23" spans="1:6" x14ac:dyDescent="0.2">
      <c r="A23" s="7" t="s">
        <v>78</v>
      </c>
      <c r="B23" s="9" t="s">
        <v>79</v>
      </c>
      <c r="E23" t="s">
        <v>80</v>
      </c>
      <c r="F23" t="s">
        <v>81</v>
      </c>
    </row>
    <row r="24" spans="1:6" x14ac:dyDescent="0.2">
      <c r="A24" s="8">
        <v>1</v>
      </c>
      <c r="B24">
        <v>142</v>
      </c>
    </row>
    <row r="25" spans="1:6" x14ac:dyDescent="0.2">
      <c r="A25" s="8">
        <v>2</v>
      </c>
      <c r="B25">
        <v>180</v>
      </c>
      <c r="E25">
        <v>2</v>
      </c>
      <c r="F25">
        <f>(B25+B32)/B38</f>
        <v>0.28017241379310343</v>
      </c>
    </row>
    <row r="26" spans="1:6" x14ac:dyDescent="0.2">
      <c r="A26" s="8">
        <v>3</v>
      </c>
      <c r="B26">
        <v>87</v>
      </c>
      <c r="E26">
        <v>4</v>
      </c>
      <c r="F26">
        <f>B27/B38</f>
        <v>0.18103448275862069</v>
      </c>
    </row>
    <row r="27" spans="1:6" x14ac:dyDescent="0.2">
      <c r="A27" s="8">
        <v>4</v>
      </c>
      <c r="B27">
        <v>126</v>
      </c>
      <c r="E27">
        <v>5</v>
      </c>
      <c r="F27">
        <f>B28/B38</f>
        <v>0.11637931034482758</v>
      </c>
    </row>
    <row r="28" spans="1:6" x14ac:dyDescent="0.2">
      <c r="A28" s="8">
        <v>5</v>
      </c>
      <c r="B28">
        <v>81</v>
      </c>
      <c r="E28">
        <v>6</v>
      </c>
      <c r="F28">
        <f>B29/B38</f>
        <v>0.16522988505747127</v>
      </c>
    </row>
    <row r="29" spans="1:6" x14ac:dyDescent="0.2">
      <c r="A29" s="8">
        <v>6</v>
      </c>
      <c r="B29">
        <v>115</v>
      </c>
      <c r="E29">
        <v>7</v>
      </c>
      <c r="F29">
        <f>B30/B38</f>
        <v>0.25718390804597702</v>
      </c>
    </row>
    <row r="30" spans="1:6" x14ac:dyDescent="0.2">
      <c r="A30" s="8">
        <v>7</v>
      </c>
      <c r="B30">
        <v>179</v>
      </c>
    </row>
    <row r="31" spans="1:6" x14ac:dyDescent="0.2">
      <c r="A31" s="8">
        <v>8</v>
      </c>
      <c r="B31">
        <v>15</v>
      </c>
    </row>
    <row r="32" spans="1:6" x14ac:dyDescent="0.2">
      <c r="A32" s="8">
        <v>9</v>
      </c>
      <c r="B32">
        <v>15</v>
      </c>
    </row>
    <row r="33" spans="1:2" x14ac:dyDescent="0.2">
      <c r="A33" s="8">
        <v>10</v>
      </c>
      <c r="B33">
        <v>15</v>
      </c>
    </row>
    <row r="34" spans="1:2" x14ac:dyDescent="0.2">
      <c r="A34" s="8">
        <v>11</v>
      </c>
      <c r="B34">
        <v>15</v>
      </c>
    </row>
    <row r="35" spans="1:2" x14ac:dyDescent="0.2">
      <c r="A35" s="8">
        <v>12</v>
      </c>
      <c r="B35">
        <v>15</v>
      </c>
    </row>
    <row r="36" spans="1:2" x14ac:dyDescent="0.2">
      <c r="A36" s="8">
        <v>13</v>
      </c>
      <c r="B36">
        <v>15</v>
      </c>
    </row>
    <row r="38" spans="1:2" x14ac:dyDescent="0.2">
      <c r="A38" t="s">
        <v>83</v>
      </c>
      <c r="B38">
        <f>B25+B27+B28+B29+B30+B31</f>
        <v>696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DCF4-B7C4-4140-8D8A-DED4487100DA}">
  <sheetPr codeName="Sheet5"/>
  <dimension ref="A1:C8"/>
  <sheetViews>
    <sheetView workbookViewId="0">
      <selection activeCell="C8" sqref="A1:C8"/>
    </sheetView>
  </sheetViews>
  <sheetFormatPr baseColWidth="10" defaultRowHeight="16" x14ac:dyDescent="0.2"/>
  <cols>
    <col min="2" max="2" width="31.33203125" customWidth="1"/>
    <col min="3" max="3" width="23.5" customWidth="1"/>
  </cols>
  <sheetData>
    <row r="1" spans="1:3" x14ac:dyDescent="0.2">
      <c r="A1" s="2" t="s">
        <v>4</v>
      </c>
      <c r="B1" s="2" t="s">
        <v>112</v>
      </c>
      <c r="C1" s="2" t="s">
        <v>111</v>
      </c>
    </row>
    <row r="2" spans="1:3" x14ac:dyDescent="0.2">
      <c r="A2">
        <v>0</v>
      </c>
      <c r="B2" t="s">
        <v>113</v>
      </c>
      <c r="C2" s="1" t="s">
        <v>6</v>
      </c>
    </row>
    <row r="3" spans="1:3" x14ac:dyDescent="0.2">
      <c r="A3">
        <v>4</v>
      </c>
      <c r="B3" t="s">
        <v>114</v>
      </c>
      <c r="C3" s="1" t="s">
        <v>7</v>
      </c>
    </row>
    <row r="4" spans="1:3" x14ac:dyDescent="0.2">
      <c r="A4">
        <v>2</v>
      </c>
      <c r="B4" t="s">
        <v>115</v>
      </c>
      <c r="C4" t="s">
        <v>117</v>
      </c>
    </row>
    <row r="5" spans="1:3" x14ac:dyDescent="0.2">
      <c r="A5">
        <v>5</v>
      </c>
      <c r="B5" t="s">
        <v>116</v>
      </c>
      <c r="C5" s="1" t="s">
        <v>8</v>
      </c>
    </row>
    <row r="6" spans="1:3" x14ac:dyDescent="0.2">
      <c r="A6">
        <v>6</v>
      </c>
      <c r="B6" t="s">
        <v>118</v>
      </c>
      <c r="C6" t="s">
        <v>118</v>
      </c>
    </row>
    <row r="7" spans="1:3" x14ac:dyDescent="0.2">
      <c r="A7">
        <v>7</v>
      </c>
      <c r="B7" t="s">
        <v>119</v>
      </c>
      <c r="C7" s="1" t="s">
        <v>84</v>
      </c>
    </row>
    <row r="8" spans="1:3" x14ac:dyDescent="0.2">
      <c r="A8">
        <v>8</v>
      </c>
      <c r="B8" t="s">
        <v>120</v>
      </c>
      <c r="C8" s="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Reservations</vt:lpstr>
      <vt:lpstr>Variable Expenses</vt:lpstr>
      <vt:lpstr>Fixed Expenses</vt:lpstr>
      <vt:lpstr>Monthly Targets</vt:lpstr>
      <vt:lpstr>Lookups</vt:lpstr>
      <vt:lpstr>Listings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HAQUE</dc:creator>
  <cp:lastModifiedBy>Daniel HAQUE</cp:lastModifiedBy>
  <dcterms:created xsi:type="dcterms:W3CDTF">2026-04-12T16:54:42Z</dcterms:created>
  <dcterms:modified xsi:type="dcterms:W3CDTF">2026-05-03T23:48:42Z</dcterms:modified>
</cp:coreProperties>
</file>